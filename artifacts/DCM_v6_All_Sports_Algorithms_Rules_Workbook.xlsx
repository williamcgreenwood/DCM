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PORT_INDEX" sheetId="2" state="visible" r:id="rId4"/>
    <sheet name="02_APPEARANCE" sheetId="3" state="visible" r:id="rId5"/>
    <sheet name="03_CONSERVATION" sheetId="4" state="visible" r:id="rId6"/>
    <sheet name="04_HIGHER_LOWER" sheetId="5" state="visible" r:id="rId7"/>
    <sheet name="05_PLATFORM" sheetId="6" state="visible" r:id="rId8"/>
    <sheet name="06_BASKETBALL" sheetId="7" state="visible" r:id="rId9"/>
    <sheet name="07_FOOTBALL" sheetId="8" state="visible" r:id="rId10"/>
    <sheet name="08_BASEBALL" sheetId="9" state="visible" r:id="rId11"/>
    <sheet name="09_SOCCER" sheetId="10" state="visible" r:id="rId12"/>
    <sheet name="10_RACKET_GOLF" sheetId="11" state="visible" r:id="rId13"/>
    <sheet name="11_CRICKET_COMBAT" sheetId="12" state="visible" r:id="rId14"/>
    <sheet name="12_DEFERRED" sheetId="13" state="visible" r:id="rId15"/>
    <sheet name="13_FORMULAS" sheetId="14" state="visible" r:id="rId16"/>
    <sheet name="14_GATES" sheetId="15" state="visible" r:id="rId17"/>
    <sheet name="15_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<sst xmlns="http://schemas.openxmlformats.org/spreadsheetml/2006/main" count="887" uniqueCount="690">
  <si>
    <t xml:space="preserve">DCM v6.0 — All-Sports Algorithms &amp; Rules Workbook</t>
  </si>
  <si>
    <t xml:space="preserve">Appearance atoms, conservation identities, Higher/Lower law, PrizePicks gates, and implementation status for every sport in the DCM horizon.</t>
  </si>
  <si>
    <t xml:space="preserve">Companion to DCM_v6_WSAB_Algorithms_Rules_Workbook.xlsx (football-deep). This book is the multi-sport operating catalog. Snapshot PRIZEPICKS_PLAYER_PICKS_2026-08-25_V1.</t>
  </si>
  <si>
    <t xml:space="preserve">00_COVER</t>
  </si>
  <si>
    <t xml:space="preserve">How to read the book and what authority each column has.</t>
  </si>
  <si>
    <t xml:space="preserve">01_SPORT_INDEX</t>
  </si>
  <si>
    <t xml:space="preserve">Master catalog: every sport/league, DCM class, plugin readiness, PrizePicks reboot status.</t>
  </si>
  <si>
    <t xml:space="preserve">02_APPEARANCE</t>
  </si>
  <si>
    <t xml:space="preserve">The opportunity atom for each sport. DNB ≠ 0. Walkover ≠ 0–0.</t>
  </si>
  <si>
    <t xml:space="preserve">03_CONSERVATION</t>
  </si>
  <si>
    <t xml:space="preserve">Identities and explicit non-identities. Only physically true rows.</t>
  </si>
  <si>
    <t xml:space="preserve">04_HIGHER_LOWER</t>
  </si>
  <si>
    <t xml:space="preserve">How any sport reaches MORE/LESS without fitting a classifier on tracking toys.</t>
  </si>
  <si>
    <t xml:space="preserve">05_PLATFORM</t>
  </si>
  <si>
    <t xml:space="preserve">PrizePicks reboot/DNP/tie — only verified leagues. Everyone else FAIL CLOSED.</t>
  </si>
  <si>
    <t xml:space="preserve">06_BASKETBALL</t>
  </si>
  <si>
    <t xml:space="preserve">NBA / WNBA primitives, identities, reboot window.</t>
  </si>
  <si>
    <t xml:space="preserve">07_FOOTBALL</t>
  </si>
  <si>
    <t xml:space="preserve">NFL / CFB / NFLP / CFL / AFL — physics shared, platform not.</t>
  </si>
  <si>
    <t xml:space="preserve">08_BASEBALL</t>
  </si>
  <si>
    <t xml:space="preserve">MLB plate-appearance / base-out design. Next registry after football gaps close.</t>
  </si>
  <si>
    <t xml:space="preserve">09_SOCCER</t>
  </si>
  <si>
    <t xml:space="preserve">Minutes + on-ball events. Start-required DNP. Low-score zeros.</t>
  </si>
  <si>
    <t xml:space="preserve">10_RACKET_GOLF</t>
  </si>
  <si>
    <t xml:space="preserve">Tennis point path; golf hole/stroke; missed cut truncates.</t>
  </si>
  <si>
    <t xml:space="preserve">11_CRICKET_COMBAT</t>
  </si>
  <si>
    <t xml:space="preserve">Ball/over identities; UFC fight-second; finish zeros later rounds.</t>
  </si>
  <si>
    <t xml:space="preserve">12_DEFERRED</t>
  </si>
  <si>
    <t xml:space="preserve">LAX, handball, NHL, esports, unnamed boards. Schema-ready ≠ production-ready.</t>
  </si>
  <si>
    <t xml:space="preserve">13_FORMULAS</t>
  </si>
  <si>
    <t xml:space="preserve">Universal settlement math + live Excel checks.</t>
  </si>
  <si>
    <t xml:space="preserve">14_GATES</t>
  </si>
  <si>
    <t xml:space="preserve">What must exist before a sport can be selected.</t>
  </si>
  <si>
    <t xml:space="preserve">15_SOURCES</t>
  </si>
  <si>
    <t xml:space="preserve">Official vs commentary vs internal contract.</t>
  </si>
  <si>
    <t xml:space="preserve">LAW: A sport becomes selectable only when four things exist — (1) appearance atom, (2) efficiency model, (3) conservation with P(failure)=0 on identities, (4) verified MarketDefinition + participation/reboot row. Missing any one is FAIL CLOSED for selection even if a physical simulator can run for research. Tracking (Statcast, NGS, SportVU, Hawk-Eye) is evidence, not a primitive. WAR / Strokes Gained / vendor AI are not PrizePicks markets.</t>
  </si>
  <si>
    <t xml:space="preserve">Master sport / league catalog</t>
  </si>
  <si>
    <t xml:space="preserve">Class is DCM authority, not a wish list. PrizePicks reboot column is official-page verified as of 2026-08-27 or FAIL CLOSED.</t>
  </si>
  <si>
    <t xml:space="preserve">Counts at the bottom are formulas over this table.</t>
  </si>
  <si>
    <t xml:space="preserve">Family</t>
  </si>
  <si>
    <t xml:space="preserve">League</t>
  </si>
  <si>
    <t xml:space="preserve">Appearance atom</t>
  </si>
  <si>
    <t xml:space="preserve">DCM class</t>
  </si>
  <si>
    <t xml:space="preserve">Registry in this env</t>
  </si>
  <si>
    <t xml:space="preserve">PP reboot (official)</t>
  </si>
  <si>
    <t xml:space="preserve">PP DNP note</t>
  </si>
  <si>
    <t xml:space="preserve">Higher/Lower path</t>
  </si>
  <si>
    <t xml:space="preserve">Basketball</t>
  </si>
  <si>
    <t xml:space="preserve">NBA</t>
  </si>
  <si>
    <t xml:space="preserve">Stint / possession</t>
  </si>
  <si>
    <t xml:space="preserve">LIVE primitives</t>
  </si>
  <si>
    <t xml:space="preserve">minimal fixture + doctrine LIVE</t>
  </si>
  <si>
    <t xml:space="preserve">YES — MORE, 1H leave, no 2H</t>
  </si>
  <si>
    <t xml:space="preserve">No second on floor → DNP</t>
  </si>
  <si>
    <t xml:space="preserve">Minutes→FGA/3PA/FTA→makes→PTS/REB/AST→PRA</t>
  </si>
  <si>
    <t xml:space="preserve">WNBA</t>
  </si>
  <si>
    <t xml:space="preserve">reuse NBA objects; do not copy NBA stat keys blindly</t>
  </si>
  <si>
    <t xml:space="preserve">Same family as NBA</t>
  </si>
  <si>
    <t xml:space="preserve">Same stack, WNBA definition version</t>
  </si>
  <si>
    <t xml:space="preserve">Football</t>
  </si>
  <si>
    <t xml:space="preserve">NFL</t>
  </si>
  <si>
    <t xml:space="preserve">Play / snap / target / carry</t>
  </si>
  <si>
    <t xml:space="preserve">IMPLEMENT NOW</t>
  </si>
  <si>
    <t xml:space="preserve">WSAB registry + E2E</t>
  </si>
  <si>
    <t xml:space="preserve">YES — MORE, 1H, no 2H; no DEF; K/P zero-attempt</t>
  </si>
  <si>
    <t xml:space="preserve">No off snap (offense) / no def snap (defense)</t>
  </si>
  <si>
    <t xml:space="preserve">Team pool→role share→efficiency→ledger→combo derived</t>
  </si>
  <si>
    <t xml:space="preserve">NFL postseason</t>
  </si>
  <si>
    <t xml:space="preserve">Same as NFL</t>
  </si>
  <si>
    <t xml:space="preserve">same plugin</t>
  </si>
  <si>
    <t xml:space="preserve">YES — included with regular</t>
  </si>
  <si>
    <t xml:space="preserve">NFLP preseason</t>
  </si>
  <si>
    <t xml:space="preserve">Same physics</t>
  </si>
  <si>
    <t xml:space="preserve">ANALYTICS ONLY</t>
  </si>
  <si>
    <t xml:space="preserve">ledger allowed</t>
  </si>
  <si>
    <t xml:space="preserve">NO — not offered</t>
  </si>
  <si>
    <t xml:space="preserve">Do not infer</t>
  </si>
  <si>
    <t xml:space="preserve">Physical worlds OK; settlement UNRESOLVED</t>
  </si>
  <si>
    <t xml:space="preserve">CFB</t>
  </si>
  <si>
    <t xml:space="preserve">PHYSICS YES; REBOOT GATED</t>
  </si>
  <si>
    <t xml:space="preserve">same primitives; fixture player list WRONG CONTENTS</t>
  </si>
  <si>
    <t xml:space="preserve">YES — CFP games only, named list, not bowls</t>
  </si>
  <si>
    <t xml:space="preserve">Unknown regular-season reboot → treat as inapplicable</t>
  </si>
  <si>
    <t xml:space="preserve">Same physics; platform map is Playoff-scoped</t>
  </si>
  <si>
    <t xml:space="preserve">CFL</t>
  </si>
  <si>
    <t xml:space="preserve">Play (3-down)</t>
  </si>
  <si>
    <t xml:space="preserve">DEFER</t>
  </si>
  <si>
    <t xml:space="preserve">none</t>
  </si>
  <si>
    <t xml:space="preserve">NO PAGE</t>
  </si>
  <si>
    <t xml:space="preserve">Unknown</t>
  </si>
  <si>
    <t xml:space="preserve">New identities (3-down) inside same schema envelope</t>
  </si>
  <si>
    <t xml:space="preserve">AFL (Aussie rules)</t>
  </si>
  <si>
    <t xml:space="preserve">Disposal / contest / TOG</t>
  </si>
  <si>
    <t xml:space="preserve">Disposals/marks/tackles — new identities</t>
  </si>
  <si>
    <t xml:space="preserve">Baseball</t>
  </si>
  <si>
    <t xml:space="preserve">MLB</t>
  </si>
  <si>
    <t xml:space="preserve">PA / base-out / inning</t>
  </si>
  <si>
    <t xml:space="preserve">RESEARCH FIRST then next registry</t>
  </si>
  <si>
    <t xml:space="preserve">designed in ADR; not coded</t>
  </si>
  <si>
    <t xml:space="preserve">YES — MORE batter, ≤2 PA; pitchers excluded</t>
  </si>
  <si>
    <t xml:space="preserve">Scratch / DNP; PA≠AB</t>
  </si>
  <si>
    <t xml:space="preserve">PA/BF→contact/K/BB→H/TB/R/RBI path</t>
  </si>
  <si>
    <t xml:space="preserve">MLB spring / ASG</t>
  </si>
  <si>
    <t xml:space="preserve">PA</t>
  </si>
  <si>
    <t xml:space="preserve">FAIL CLOSED platform</t>
  </si>
  <si>
    <t xml:space="preserve">2025 T&amp;C excluded spring + All-Star</t>
  </si>
  <si>
    <t xml:space="preserve">Do not copy regular reboot</t>
  </si>
  <si>
    <t xml:space="preserve">Analytics only</t>
  </si>
  <si>
    <t xml:space="preserve">MiLB / NPB / KBO / NCAA</t>
  </si>
  <si>
    <t xml:space="preserve">PA / BF</t>
  </si>
  <si>
    <t xml:space="preserve">NO VERIFIED ROW</t>
  </si>
  <si>
    <t xml:space="preserve">After MLB plugin exists</t>
  </si>
  <si>
    <t xml:space="preserve">Soccer</t>
  </si>
  <si>
    <t xml:space="preserve">EPL / MLS / UCL / INT</t>
  </si>
  <si>
    <t xml:space="preserve">Minute + on-ball + set piece</t>
  </si>
  <si>
    <t xml:space="preserve">NO REBOOT PAGE</t>
  </si>
  <si>
    <t xml:space="preserve">Official DNP note: some soccer requires START</t>
  </si>
  <si>
    <t xml:space="preserve">Minutes×shot/touch rates; heavy zero inflation</t>
  </si>
  <si>
    <t xml:space="preserve">Tennis</t>
  </si>
  <si>
    <t xml:space="preserve">ATP / WTA / Slam</t>
  </si>
  <si>
    <t xml:space="preserve">Point / game / set / match</t>
  </si>
  <si>
    <t xml:space="preserve">Walkover / retirement is administrative</t>
  </si>
  <si>
    <t xml:space="preserve">Path model almost mandatory</t>
  </si>
  <si>
    <t xml:space="preserve">Golf</t>
  </si>
  <si>
    <t xml:space="preserve">PGA / DPWT / majors</t>
  </si>
  <si>
    <t xml:space="preserve">Stroke / hole / round</t>
  </si>
  <si>
    <t xml:space="preserve">WD/DQ; missed cut truncates R3–R4</t>
  </si>
  <si>
    <t xml:space="preserve">Holes started × SG components as DERIVED</t>
  </si>
  <si>
    <t xml:space="preserve">Cricket</t>
  </si>
  <si>
    <t xml:space="preserve">Test / ODI / T20 / IPL</t>
  </si>
  <si>
    <t xml:space="preserve">Ball / over / innings</t>
  </si>
  <si>
    <t xml:space="preserve">DNB ≠ 0 off 0</t>
  </si>
  <si>
    <t xml:space="preserve">Balls faced × scoring rates; bowling BF complementary</t>
  </si>
  <si>
    <t xml:space="preserve">Combat</t>
  </si>
  <si>
    <t xml:space="preserve">UFC / MMA</t>
  </si>
  <si>
    <t xml:space="preserve">Fight-second / round</t>
  </si>
  <si>
    <t xml:space="preserve">PLANNED after baseball or parallel research</t>
  </si>
  <si>
    <t xml:space="preserve">Finish ends later-round volume; replacement is admin</t>
  </si>
  <si>
    <t xml:space="preserve">Time in state × attempt rates</t>
  </si>
  <si>
    <t xml:space="preserve">Lacrosse</t>
  </si>
  <si>
    <t xml:space="preserve">PLL / NCAA / NLL</t>
  </si>
  <si>
    <t xml:space="preserve">Possession / minute / faceoff</t>
  </si>
  <si>
    <t xml:space="preserve">Same envelope, new identities</t>
  </si>
  <si>
    <t xml:space="preserve">Handball</t>
  </si>
  <si>
    <t xml:space="preserve">Euro / Olympic</t>
  </si>
  <si>
    <t xml:space="preserve">Attack / possession / minute</t>
  </si>
  <si>
    <t xml:space="preserve">Same envelope</t>
  </si>
  <si>
    <t xml:space="preserve">Ice hockey</t>
  </si>
  <si>
    <t xml:space="preserve">NHL</t>
  </si>
  <si>
    <t xml:space="preserve">Shift / TOI / shot attempt</t>
  </si>
  <si>
    <t xml:space="preserve">DEFER (not in WSAB build order)</t>
  </si>
  <si>
    <t xml:space="preserve">Unknown in-app chart</t>
  </si>
  <si>
    <t xml:space="preserve">TOI→attempts→goals/assists; do not invent reboot</t>
  </si>
  <si>
    <t xml:space="preserve">Esports / other PP boards</t>
  </si>
  <si>
    <t xml:space="preserve">LoL / CoD / RL / etc.</t>
  </si>
  <si>
    <t xml:space="preserve">Unknown / title-specific</t>
  </si>
  <si>
    <t xml:space="preserve">FAIL CLOSED</t>
  </si>
  <si>
    <t xml:space="preserve">Not a DCM sport plugin until defined</t>
  </si>
  <si>
    <t xml:space="preserve">Unnamed / OTD</t>
  </si>
  <si>
    <t xml:space="preserve">OTD</t>
  </si>
  <si>
    <t xml:space="preserve">A code name is not a MarketDefinition</t>
  </si>
  <si>
    <t xml:space="preserve">Do not build</t>
  </si>
  <si>
    <t xml:space="preserve">Counts</t>
  </si>
  <si>
    <t xml:space="preserve">Rows in catalog</t>
  </si>
  <si>
    <t xml:space="preserve">Official PP reboot YES</t>
  </si>
  <si>
    <t xml:space="preserve">No official reboot page</t>
  </si>
  <si>
    <t xml:space="preserve">FAIL CLOSED / unknown boards</t>
  </si>
  <si>
    <t xml:space="preserve">Class bucket</t>
  </si>
  <si>
    <t xml:space="preserve">Count</t>
  </si>
  <si>
    <t xml:space="preserve">LIVE / IMPLEMENT NOW family</t>
  </si>
  <si>
    <t xml:space="preserve">Gated / research</t>
  </si>
  <si>
    <t xml:space="preserve">Deferred</t>
  </si>
  <si>
    <t xml:space="preserve">Fail closed</t>
  </si>
  <si>
    <t xml:space="preserve">Appearance mechanics — universal object, sport-specific atom</t>
  </si>
  <si>
    <t xml:space="preserve">An appearance creates a unit of opportunity. Platform Reboot is a map over that atom, not the atom itself.</t>
  </si>
  <si>
    <t xml:space="preserve">AppearanceProcess lives in OpportunityState / regime payloads. It is not a new common schema class.</t>
  </si>
  <si>
    <t xml:space="preserve">Sport family</t>
  </si>
  <si>
    <t xml:space="preserve">Atom</t>
  </si>
  <si>
    <t xml:space="preserve">What 'did not appear' means</t>
  </si>
  <si>
    <t xml:space="preserve">Zero-opportunity paths</t>
  </si>
  <si>
    <t xml:space="preserve">Do not confuse with</t>
  </si>
  <si>
    <t xml:space="preserve">Universal fields</t>
  </si>
  <si>
    <t xml:space="preserve">atom_type + eligibility + generation + termination + zero paths + platform map</t>
  </si>
  <si>
    <t xml:space="preserve">Eligibility rule decides who can receive the next atom</t>
  </si>
  <si>
    <t xml:space="preserve">Listed explicitly per sport</t>
  </si>
  <si>
    <t xml:space="preserve">MarketDefinition or optimizer feature</t>
  </si>
  <si>
    <t xml:space="preserve">NBA / WNBA</t>
  </si>
  <si>
    <t xml:space="preserve">Stint / possession while on floor</t>
  </si>
  <si>
    <t xml:space="preserve">DNP-CD, scratch, 0 minutes</t>
  </si>
  <si>
    <t xml:space="preserve">Out; two-way; load-manage; G-League assignment</t>
  </si>
  <si>
    <t xml:space="preserve">Foul-out late is truncated opportunity, not zero</t>
  </si>
  <si>
    <t xml:space="preserve">NFL / CFB</t>
  </si>
  <si>
    <t xml:space="preserve">Play participation, target, carry, dropback</t>
  </si>
  <si>
    <t xml:space="preserve">Inactive or in game with zero designed opportunities</t>
  </si>
  <si>
    <t xml:space="preserve">Inactive; emergency 3rd QB; blowout sit; K/P no attempt</t>
  </si>
  <si>
    <t xml:space="preserve">Σ snaps = team plays (FALSE)</t>
  </si>
  <si>
    <t xml:space="preserve">Plate appearance inside base-out-inning state</t>
  </si>
  <si>
    <t xml:space="preserve">Not in lineup / removed before a PA</t>
  </si>
  <si>
    <t xml:space="preserve">Scratched; pinch-spot never reached</t>
  </si>
  <si>
    <t xml:space="preserve">AB; PA = AB+BB+HBP+SF+SH+CI</t>
  </si>
  <si>
    <t xml:space="preserve">MLB pitcher</t>
  </si>
  <si>
    <t xml:space="preserve">Batter faced / pitch</t>
  </si>
  <si>
    <t xml:space="preserve">Did not pitch</t>
  </si>
  <si>
    <t xml:space="preserve">Opener vs bulk is a regime, not a missing PA</t>
  </si>
  <si>
    <t xml:space="preserve">Batter reboot (pitchers excluded on PP)</t>
  </si>
  <si>
    <t xml:space="preserve">Minute on pitch + set-piece role</t>
  </si>
  <si>
    <t xml:space="preserve">Unused sub / not in XVIII</t>
  </si>
  <si>
    <t xml:space="preserve">Unused sub; red card truncates remaining minutes</t>
  </si>
  <si>
    <t xml:space="preserve">A start-required DNP rule (platform, not physics)</t>
  </si>
  <si>
    <t xml:space="preserve">Point on serve or return</t>
  </si>
  <si>
    <t xml:space="preserve">Walkover / retirement before first point</t>
  </si>
  <si>
    <t xml:space="preserve">Walkover is administrative</t>
  </si>
  <si>
    <t xml:space="preserve">A 0-0 completed match world</t>
  </si>
  <si>
    <t xml:space="preserve">Hole started</t>
  </si>
  <si>
    <t xml:space="preserve">WD / DQ before tee-off</t>
  </si>
  <si>
    <t xml:space="preserve">Missed cut ends Saturday/Sunday holes</t>
  </si>
  <si>
    <t xml:space="preserve">Imputed weekend scores after a cut</t>
  </si>
  <si>
    <t xml:space="preserve">Ball faced or ball bowled</t>
  </si>
  <si>
    <t xml:space="preserve">DNB (did not bat) vs 0 off N</t>
  </si>
  <si>
    <t xml:space="preserve">Did not bat; rain-shortened; declaration</t>
  </si>
  <si>
    <t xml:space="preserve">DNB recorded as 0 runs</t>
  </si>
  <si>
    <t xml:space="preserve">UFC</t>
  </si>
  <si>
    <t xml:space="preserve">Fight-second in a state</t>
  </si>
  <si>
    <t xml:space="preserve">Replacement / missed weight / no contest</t>
  </si>
  <si>
    <t xml:space="preserve">KO/TKO/sub ends later-round volume</t>
  </si>
  <si>
    <t xml:space="preserve">A full-5-round striking total after a R1 finish</t>
  </si>
  <si>
    <t xml:space="preserve">LAX / handball</t>
  </si>
  <si>
    <t xml:space="preserve">Possession / attack / minute</t>
  </si>
  <si>
    <t xml:space="preserve">DNP / unused specialist</t>
  </si>
  <si>
    <t xml:space="preserve">Specialist with near-zero shot pool</t>
  </si>
  <si>
    <t xml:space="preserve">Generic basketball minutes model</t>
  </si>
  <si>
    <t xml:space="preserve">Shift / TOI</t>
  </si>
  <si>
    <t xml:space="preserve">Scratch / healthy scratch</t>
  </si>
  <si>
    <t xml:space="preserve">4th-line truncated TOI is not zero</t>
  </si>
  <si>
    <t xml:space="preserve">A copied NBA reboot window</t>
  </si>
  <si>
    <t xml:space="preserve">Conservation identities by sport</t>
  </si>
  <si>
    <t xml:space="preserve">Only physically true identities. A false identity is worse than a missing identity.</t>
  </si>
  <si>
    <t xml:space="preserve">P(structural failure) = 0 on exact identities. Generate legal worlds; valid=False is defensive audit.</t>
  </si>
  <si>
    <t xml:space="preserve">Sport</t>
  </si>
  <si>
    <t xml:space="preserve">Identity / bound</t>
  </si>
  <si>
    <t xml:space="preserve">Kind</t>
  </si>
  <si>
    <t xml:space="preserve">Failure if broken</t>
  </si>
  <si>
    <t xml:space="preserve">NBA/WNBA</t>
  </si>
  <si>
    <t xml:space="preserve">2PA = FGA − 3PA</t>
  </si>
  <si>
    <t xml:space="preserve">IDENTITY</t>
  </si>
  <si>
    <t xml:space="preserve">PRIMITIVE_CONSERVATION_FAILURE</t>
  </si>
  <si>
    <t xml:space="preserve">FGM = 2PM + 3PM</t>
  </si>
  <si>
    <t xml:space="preserve">same</t>
  </si>
  <si>
    <t xml:space="preserve">REB = OREB + DREB</t>
  </si>
  <si>
    <t xml:space="preserve">PTS = 2·2PM + 3·3PM + FTM</t>
  </si>
  <si>
    <t xml:space="preserve">PRA = PTS + REB + AST  (derived)</t>
  </si>
  <si>
    <t xml:space="preserve">DERIVED</t>
  </si>
  <si>
    <t xml:space="preserve">DERIVED_IDENTITY_FAILURE</t>
  </si>
  <si>
    <t xml:space="preserve">makes ≤ attempts on FGA/3PA/FTA</t>
  </si>
  <si>
    <t xml:space="preserve">BOUND</t>
  </si>
  <si>
    <t xml:space="preserve">NFL/CFB</t>
  </si>
  <si>
    <t xml:space="preserve">rush_att = designed + scramble</t>
  </si>
  <si>
    <t xml:space="preserve">dropbacks = pass_att + sacks + scramble</t>
  </si>
  <si>
    <t xml:space="preserve">team_off_plays = pass + rush + sacks</t>
  </si>
  <si>
    <t xml:space="preserve">Σ snaps ≠ team plays</t>
  </si>
  <si>
    <t xml:space="preserve">NON-IDENTITY</t>
  </si>
  <si>
    <t xml:space="preserve">Do not enforce</t>
  </si>
  <si>
    <t xml:space="preserve">receptions ≤ targets ≤ routes</t>
  </si>
  <si>
    <t xml:space="preserve">team_pass_yds = team_rec_yds (NO_LATERAL)</t>
  </si>
  <si>
    <t xml:space="preserve">IDENTITY under def</t>
  </si>
  <si>
    <t xml:space="preserve">Needs new version if laterals modeled</t>
  </si>
  <si>
    <t xml:space="preserve">PA = AB + BB + HBP + SF + SH + CI (+ named codes)</t>
  </si>
  <si>
    <t xml:space="preserve">H = 1B + 2B + 3B + HR</t>
  </si>
  <si>
    <t xml:space="preserve">TB = 1·1B + 2·2B + 3·3B + 4·HR</t>
  </si>
  <si>
    <t xml:space="preserve">AB ≥ H ; K ≤ PA ; HR ≤ H</t>
  </si>
  <si>
    <t xml:space="preserve">Team runs conserved across batter R / RBI / pitcher runs allowed under scoring rules</t>
  </si>
  <si>
    <t xml:space="preserve">PATH IDENTITY</t>
  </si>
  <si>
    <t xml:space="preserve">Do not sample R and RBI independently of the inning path</t>
  </si>
  <si>
    <t xml:space="preserve">Minutes ≤ scheduled minutes; red card truncates</t>
  </si>
  <si>
    <t xml:space="preserve">Goals ≤ shots on target ≤ shots (if those defs used)</t>
  </si>
  <si>
    <t xml:space="preserve">definition-versioned</t>
  </si>
  <si>
    <t xml:space="preserve">Points win games win sets win match under the event's scoring code</t>
  </si>
  <si>
    <t xml:space="preserve">Cannot sample match-win independent of points</t>
  </si>
  <si>
    <t xml:space="preserve">Strokes on holes started only; cut removes later holes</t>
  </si>
  <si>
    <t xml:space="preserve">TERMINATION</t>
  </si>
  <si>
    <t xml:space="preserve">Do not impute R3–R4 after missed cut</t>
  </si>
  <si>
    <t xml:space="preserve">Runs off balls faced; extras separate under definition</t>
  </si>
  <si>
    <t xml:space="preserve">DNB is missing appearance, not 0</t>
  </si>
  <si>
    <t xml:space="preserve">Team score = bat runs + extras − penalties (def version)</t>
  </si>
  <si>
    <t xml:space="preserve">Strikes/TD in elapsed fight-seconds only</t>
  </si>
  <si>
    <t xml:space="preserve">Finish zeros remaining scheduled time</t>
  </si>
  <si>
    <t xml:space="preserve">All</t>
  </si>
  <si>
    <t xml:space="preserve">Derived never written into primitive ledger</t>
  </si>
  <si>
    <t xml:space="preserve">META</t>
  </si>
  <si>
    <t xml:space="preserve">Higher / Lower derivation law — every sport</t>
  </si>
  <si>
    <t xml:space="preserve">There is one algorithm. Sports plug parameters into it. No sport gets a logistic shortcut on 'advanced metrics.'</t>
  </si>
  <si>
    <t xml:space="preserve">Offered side only. Unknown side → OFFERED_SIDE_UNKNOWN.</t>
  </si>
  <si>
    <t xml:space="preserve">Step</t>
  </si>
  <si>
    <t xml:space="preserve">Action</t>
  </si>
  <si>
    <t xml:space="preserve">Forbidden substitute</t>
  </si>
  <si>
    <t xml:space="preserve">1</t>
  </si>
  <si>
    <t xml:space="preserve">Freeze evidence before cutoff (as-of timestamps).</t>
  </si>
  <si>
    <t xml:space="preserve">Use tonight's box score as a feature.</t>
  </si>
  <si>
    <t xml:space="preserve">2</t>
  </si>
  <si>
    <t xml:space="preserve">Draw EventWorlds from the sport plugin (latents + regimes + opportunity + efficiency).</t>
  </si>
  <si>
    <t xml:space="preserve">One Normal draw per player-prop.</t>
  </si>
  <si>
    <t xml:space="preserve">3</t>
  </si>
  <si>
    <t xml:space="preserve">Write only primitives into PrimitiveStatLedger.</t>
  </si>
  <si>
    <t xml:space="preserve">Write WAR, exit velocity, route separation, Strokes Gained as primitives.</t>
  </si>
  <si>
    <t xml:space="preserve">4</t>
  </si>
  <si>
    <t xml:space="preserve">Enforce conservation. Illegal world never reaches projection.</t>
  </si>
  <si>
    <t xml:space="preserve">Soften a bound so the sampler 'looks realistic.'</t>
  </si>
  <si>
    <t xml:space="preserve">5</t>
  </si>
  <si>
    <t xml:space="preserve">x_w = f(ledger_w ; definition_version).</t>
  </si>
  <si>
    <t xml:space="preserve">Independently sample PRA / pass+rush / fantasy.</t>
  </si>
  <si>
    <t xml:space="preserve">6</t>
  </si>
  <si>
    <t xml:space="preserve">ComparisonState from (x_w, line, offered side, push policy).</t>
  </si>
  <si>
    <t xml:space="preserve">Assume MORE if the model 'likes the player.'</t>
  </si>
  <si>
    <t xml:space="preserve">7</t>
  </si>
  <si>
    <t xml:space="preserve">Apply platform administration (DNP / Reboot / cancel) using versioned rows.</t>
  </si>
  <si>
    <t xml:space="preserve">Guess a reboot because the player 'got hurt.'</t>
  </si>
  <si>
    <t xml:space="preserve">8</t>
  </si>
  <si>
    <t xml:space="preserve">Grade PLAYABLE / LEAN / PASS / TRAP from world probabilities + LCB + reliability + fragility + Demon cushion.</t>
  </si>
  <si>
    <t xml:space="preserve">Collapse to one confidence number or a vendor AI score.</t>
  </si>
  <si>
    <t xml:space="preserve">Tracking feeds update EfficiencyState or DiscreteEventRegime through EvidenceGraph. They never skip the world. A barrel or a 4.3-second 40-yard dash is not a PrizePicks Hits or Rush Yards market.</t>
  </si>
  <si>
    <t xml:space="preserve">PrizePicks participation map — verified vs unknown</t>
  </si>
  <si>
    <t xml:space="preserve">Reboot exists on the official page for NBA, WNBA, NFL, CFB, MLB batters only. Soccer/tennis/golf/cricket/UFC/NHL/CFL/AFL = no reboot row → do not invent one.</t>
  </si>
  <si>
    <t xml:space="preserve">Sources: prizepicks.com/reboots retrieved 2026-08-27; DNP help center updated 2026-08-11; Potential Outcomes updated 2026-08-24.</t>
  </si>
  <si>
    <t xml:space="preserve">Reboot window</t>
  </si>
  <si>
    <t xml:space="preserve">Side / board</t>
  </si>
  <si>
    <t xml:space="preserve">Who is excluded</t>
  </si>
  <si>
    <t xml:space="preserve">Already-cleared MORE</t>
  </si>
  <si>
    <t xml:space="preserve">DCM encoding</t>
  </si>
  <si>
    <t xml:space="preserve">Leave 1H AND no 2H return</t>
  </si>
  <si>
    <t xml:space="preserve">MORE; full-game only; not 1H/1Q/SZN/NBAP</t>
  </si>
  <si>
    <t xml:space="preserve">Rate / attempts-family / partial period</t>
  </si>
  <si>
    <t xml:space="preserve">Settle normally (win)</t>
  </si>
  <si>
    <t xml:space="preserve">Basketball fixture path</t>
  </si>
  <si>
    <t xml:space="preserve">MORE; full-game regular season</t>
  </si>
  <si>
    <t xml:space="preserve">Same family as NBA; non-single-game excluded</t>
  </si>
  <si>
    <t xml:space="preserve">Settle normally</t>
  </si>
  <si>
    <t xml:space="preserve">Reuse evaluator; own definition version</t>
  </si>
  <si>
    <t xml:space="preserve">Leave 1H AND no 2H return; regular+post only</t>
  </si>
  <si>
    <t xml:space="preserve">MORE; full-game; not NFLP/1H/SZN</t>
  </si>
  <si>
    <t xml:space="preserve">Defense; ST except K/P active+zero attempt</t>
  </si>
  <si>
    <t xml:space="preserve">WSAB; 1H predicate still PARTIAL</t>
  </si>
  <si>
    <t xml:space="preserve">Leave 1H AND no 2H; CFP games only, not bowls</t>
  </si>
  <si>
    <t xml:space="preserve">MORE; full-game; named qualifying list</t>
  </si>
  <si>
    <t xml:space="preserve">DST; unlisted players; regular season / bowls</t>
  </si>
  <si>
    <t xml:space="preserve">Fixture list ≠ official 44 names — gap</t>
  </si>
  <si>
    <t xml:space="preserve">Batter finishes with ≤2 PA</t>
  </si>
  <si>
    <t xml:space="preserve">MORE; full-game batter; not MLBLIVE / pitchers</t>
  </si>
  <si>
    <t xml:space="preserve">Pitchers; two-way pitching squares; spring/ASG historically excluded</t>
  </si>
  <si>
    <t xml:space="preserve">Designed, not coded</t>
  </si>
  <si>
    <t xml:space="preserve">NO official reboot page</t>
  </si>
  <si>
    <t xml:space="preserve">—</t>
  </si>
  <si>
    <t xml:space="preserve">Start-required DNP exists as a DNP family, not a reboot</t>
  </si>
  <si>
    <t xml:space="preserve">FAIL CLOSED reboot; DNP chart required before selection</t>
  </si>
  <si>
    <t xml:space="preserve">Walkover / retirement = admin, not 0-0</t>
  </si>
  <si>
    <t xml:space="preserve">FAIL CLOSED reboot</t>
  </si>
  <si>
    <t xml:space="preserve">Cut / WD / DQ termination</t>
  </si>
  <si>
    <t xml:space="preserve">Cricket / UFC / NHL / CFL / AFL / LAX / HB</t>
  </si>
  <si>
    <t xml:space="preserve">Universal platform identities (all sports)</t>
  </si>
  <si>
    <t xml:space="preserve">DNP vs Reboot vs Tie</t>
  </si>
  <si>
    <t xml:space="preserve">All three can drop a tier. Only DNP/Reboot are removed. Ties stay and do not create same-team ineligibility.</t>
  </si>
  <si>
    <t xml:space="preserve">Same-team refund</t>
  </si>
  <si>
    <t xml:space="preserve">After removals, if remaining players are all one team → refund.</t>
  </si>
  <si>
    <t xml:space="preserve">2-pick + DNP/Reboot</t>
  </si>
  <si>
    <t xml:space="preserve">Refund.</t>
  </si>
  <si>
    <t xml:space="preserve">Final cash</t>
  </si>
  <si>
    <t xml:space="preserve">max(Leaderboard, Minimum Guarantee). They do not stack.</t>
  </si>
  <si>
    <t xml:space="preserve">LB weights</t>
  </si>
  <si>
    <t xml:space="preserve">Demon 1.05 / Standard 1.00 / Goblin·Discount·Stack 0.95 / same-player stack win 0.95 / DNP·Tie·Reboot·Loss = 0.</t>
  </si>
  <si>
    <t xml:space="preserve">LESS</t>
  </si>
  <si>
    <t xml:space="preserve">Never rebooted on verified sports. Comparison continues.</t>
  </si>
  <si>
    <t xml:space="preserve">Displayed payout</t>
  </si>
  <si>
    <t xml:space="preserve">Captured at submission. Published 6-pick examples are not the contract.</t>
  </si>
  <si>
    <t xml:space="preserve">Primitives are LIVE in doctrine. This environment ships a minimal fixture so settlement can be proven sport-agnostic.</t>
  </si>
  <si>
    <t xml:space="preserve">Do not rewrite the accepted basketball registry when the real v5 tree is attached.</t>
  </si>
  <si>
    <t xml:space="preserve">Topic</t>
  </si>
  <si>
    <t xml:space="preserve">Object / formula</t>
  </si>
  <si>
    <t xml:space="preserve">Rule</t>
  </si>
  <si>
    <t xml:space="preserve">Opportunity</t>
  </si>
  <si>
    <t xml:space="preserve">Minutes, FGA, 3PA, FTA</t>
  </si>
  <si>
    <t xml:space="preserve">Efficiency never invents minutes.</t>
  </si>
  <si>
    <t xml:space="preserve">Identities</t>
  </si>
  <si>
    <t xml:space="preserve">2PA=FGA−3PA; FGM=2PM+3PM; REB=OREB+DREB; PTS=2·2PM+3·3PM+FTM</t>
  </si>
  <si>
    <t xml:space="preserve">Exact in every world.</t>
  </si>
  <si>
    <t xml:space="preserve">Derived</t>
  </si>
  <si>
    <t xml:space="preserve">PRA, PR, PA, RA, stocks, fantasy</t>
  </si>
  <si>
    <t xml:space="preserve">f(ledger). Never sampled.</t>
  </si>
  <si>
    <t xml:space="preserve">Regimes</t>
  </si>
  <si>
    <t xml:space="preserve">OUT / QUESTIONABLE / LOAD_MANAGE / STARTER</t>
  </si>
  <si>
    <t xml:space="preserve">Do not convert uncertainty into one arbitrary minute penalty.</t>
  </si>
  <si>
    <t xml:space="preserve">PP reboot</t>
  </si>
  <si>
    <t xml:space="preserve">MORE + full game + leave 1H + no 2H</t>
  </si>
  <si>
    <t xml:space="preserve">LESS continues. Already-cleared MORE settles.</t>
  </si>
  <si>
    <t xml:space="preserve">PP boards out</t>
  </si>
  <si>
    <t xml:space="preserve">NBA/WNBA 1H 2H 1Q 4Q SZN SERIES NBAP</t>
  </si>
  <si>
    <t xml:space="preserve">No reboot.</t>
  </si>
  <si>
    <t xml:space="preserve">WNBA caution</t>
  </si>
  <si>
    <t xml:space="preserve">Analogous reboot window</t>
  </si>
  <si>
    <t xml:space="preserve">Do not assume NBA stat-key allowlist equals WNBA.</t>
  </si>
  <si>
    <t xml:space="preserve">Tracking</t>
  </si>
  <si>
    <t xml:space="preserve">SportVU / Second Spectrum 25 Hz</t>
  </si>
  <si>
    <t xml:space="preserve">Evidence only.</t>
  </si>
  <si>
    <t xml:space="preserve">Status</t>
  </si>
  <si>
    <t xml:space="preserve">KEEP / EXTEND through E2E adapter</t>
  </si>
  <si>
    <t xml:space="preserve">Fixture module is not the LIVE registry.</t>
  </si>
  <si>
    <t xml:space="preserve">American + other football</t>
  </si>
  <si>
    <t xml:space="preserve">One physical plugin. Platform authority is league-keyed. Deep dive remains in the football workbook.</t>
  </si>
  <si>
    <t xml:space="preserve">See DCM_v6_WSAB_Algorithms_Rules_Workbook.xlsx for NFL clause-by-clause and the official 44-name CFB list.</t>
  </si>
  <si>
    <t xml:space="preserve">NFL physics</t>
  </si>
  <si>
    <t xml:space="preserve">dropbacks = att + sacks + scramble; plays = pass + rush + sacks</t>
  </si>
  <si>
    <t xml:space="preserve">NO_LATERAL pass=rec yards.</t>
  </si>
  <si>
    <t xml:space="preserve">NFL reboot</t>
  </si>
  <si>
    <t xml:space="preserve">MORE, 1H leave, no 2H, no DEF, K/P active+zero attempt</t>
  </si>
  <si>
    <t xml:space="preserve">Not preseason.</t>
  </si>
  <si>
    <t xml:space="preserve">CFB physics</t>
  </si>
  <si>
    <t xml:space="preserve">Same identities</t>
  </si>
  <si>
    <t xml:space="preserve">Roster entropy is higher; still the same atoms.</t>
  </si>
  <si>
    <t xml:space="preserve">CFB reboot</t>
  </si>
  <si>
    <t xml:space="preserve">CFP only + named list + MORE + 1H + no 2H</t>
  </si>
  <si>
    <t xml:space="preserve">Package fixture IDs are not the official list.</t>
  </si>
  <si>
    <t xml:space="preserve">NFLP</t>
  </si>
  <si>
    <t xml:space="preserve">Physical ledger allowed</t>
  </si>
  <si>
    <t xml:space="preserve">Settlement reboot UNRESOLVED.</t>
  </si>
  <si>
    <t xml:space="preserve">3-down play pool</t>
  </si>
  <si>
    <t xml:space="preserve">DEFER. Unknown PP rows.</t>
  </si>
  <si>
    <t xml:space="preserve">AFL</t>
  </si>
  <si>
    <t xml:space="preserve">Disposal / mark / tackle / TOG</t>
  </si>
  <si>
    <t xml:space="preserve">DEFER. New identities, same envelope.</t>
  </si>
  <si>
    <t xml:space="preserve">Path vs aggregate</t>
  </si>
  <si>
    <t xml:space="preserve">Aggregate first for yards/receptions</t>
  </si>
  <si>
    <t xml:space="preserve">Anytime TD / blowout sit need path.</t>
  </si>
  <si>
    <t xml:space="preserve">Next Gen Stats RFID</t>
  </si>
  <si>
    <t xml:space="preserve">MLB plate-appearance engine (design-now)</t>
  </si>
  <si>
    <t xml:space="preserve">Hardest discrete-state sport after football. Authorized as the next registry after football E2E gaps close. Not coded in WSAB.</t>
  </si>
  <si>
    <t xml:space="preserve">≤2 PA Reboot is a platform map over PA, not a baseball identity.</t>
  </si>
  <si>
    <t xml:space="preserve">State S</t>
  </si>
  <si>
    <t xml:space="preserve">(inning, half, outs, bases, score, pitcher_id, batter_id, lineup_slot)</t>
  </si>
  <si>
    <t xml:space="preserve">Markov / path.</t>
  </si>
  <si>
    <t xml:space="preserve">PA identity</t>
  </si>
  <si>
    <t xml:space="preserve">PA = AB+BB+HBP+SF+SH+CI + named codes</t>
  </si>
  <si>
    <t xml:space="preserve">PA, not AB, is the PP reboot atom.</t>
  </si>
  <si>
    <t xml:space="preserve">Hit identity</t>
  </si>
  <si>
    <t xml:space="preserve">H = 1B+2B+3B+HR ; TB = 1·1B+2·2B+3·3B+4·HR</t>
  </si>
  <si>
    <t xml:space="preserve">Exact.</t>
  </si>
  <si>
    <t xml:space="preserve">Opportunity vs efficiency</t>
  </si>
  <si>
    <t xml:space="preserve">PA / BF / pitches vs K% BB% EV residual wOBA-on-contact</t>
  </si>
  <si>
    <t xml:space="preserve">Do not repair a short-PA role with a huge EV prior.</t>
  </si>
  <si>
    <t xml:space="preserve">Path-heavy markets</t>
  </si>
  <si>
    <t xml:space="preserve">R, RBI, SB, pitcher ER</t>
  </si>
  <si>
    <t xml:space="preserve">Need base-out path or a conserved team-run model.</t>
  </si>
  <si>
    <t xml:space="preserve">Often aggregable</t>
  </si>
  <si>
    <t xml:space="preserve">Pitcher K ≈ BF × K-rate if BF comes from pitch-count / lineup-turn</t>
  </si>
  <si>
    <t xml:space="preserve">Still conserve team innings.</t>
  </si>
  <si>
    <t xml:space="preserve">MORE batter full-game; leave with ≤2 PA</t>
  </si>
  <si>
    <t xml:space="preserve">Pitchers excluded. Two-way: batting square can reboot, pitching square cannot.</t>
  </si>
  <si>
    <t xml:space="preserve">Already-cleared</t>
  </si>
  <si>
    <t xml:space="preserve">Hit the line before exit → win, no reboot</t>
  </si>
  <si>
    <t xml:space="preserve">Same as other sports.</t>
  </si>
  <si>
    <t xml:space="preserve">Excluded boards</t>
  </si>
  <si>
    <t xml:space="preserve">MLBLIVE / partial / historically spring + All-Star</t>
  </si>
  <si>
    <t xml:space="preserve">FAIL CLOSED if unverified.</t>
  </si>
  <si>
    <t xml:space="preserve">Statcast EV / LA / barrel</t>
  </si>
  <si>
    <t xml:space="preserve">EvidenceGraph only.</t>
  </si>
  <si>
    <t xml:space="preserve">Sabermetrics</t>
  </si>
  <si>
    <t xml:space="preserve">WAR is a constructed valuation</t>
  </si>
  <si>
    <t xml:space="preserve">Not a primitive. Not a PP market.</t>
  </si>
  <si>
    <t xml:space="preserve">Soccer / EPL / MLS / UCL / international</t>
  </si>
  <si>
    <t xml:space="preserve">Low-score discrete outcomes plus heavy zeros. Minutes are the appearance atom; shots/touches are opportunity refinements.</t>
  </si>
  <si>
    <t xml:space="preserve">PrizePicks documents a start-required DNP family for some soccer. There is no official soccer reboot page. Do not copy NBA 1H rules.</t>
  </si>
  <si>
    <t xml:space="preserve">Minute on pitch + set-piece assignment</t>
  </si>
  <si>
    <t xml:space="preserve">Unused sub = zero opportunity.</t>
  </si>
  <si>
    <t xml:space="preserve">Termination</t>
  </si>
  <si>
    <t xml:space="preserve">Full time / extra time if definition includes / red card</t>
  </si>
  <si>
    <t xml:space="preserve">Red card truncates remaining minutes.</t>
  </si>
  <si>
    <t xml:space="preserve">Bounds</t>
  </si>
  <si>
    <t xml:space="preserve">shots on target ≤ shots; goals ≤ SoT (if those defs)</t>
  </si>
  <si>
    <t xml:space="preserve">Version the definition.</t>
  </si>
  <si>
    <t xml:space="preserve">Zeros</t>
  </si>
  <si>
    <t xml:space="preserve">Many players post 0 shots / 0 SoT / 0 goals</t>
  </si>
  <si>
    <t xml:space="preserve">Do not force a Normal with huge variance as a substitute for a point mass at 0.</t>
  </si>
  <si>
    <t xml:space="preserve">PP DNP</t>
  </si>
  <si>
    <t xml:space="preserve">Some soccer markets require the player to START</t>
  </si>
  <si>
    <t xml:space="preserve">In-app scoring chart is the row. Missing chart → UNKNOWN_PARTICIPATION_RULE.</t>
  </si>
  <si>
    <t xml:space="preserve">None verified</t>
  </si>
  <si>
    <t xml:space="preserve">FAIL CLOSED.</t>
  </si>
  <si>
    <t xml:space="preserve">Team picks</t>
  </si>
  <si>
    <t xml:space="preserve">Potential Outcomes lists soccer as an eligible Team Pick sport</t>
  </si>
  <si>
    <t xml:space="preserve">Team pick incorrect → no LB / no MG for that mixed lineup.</t>
  </si>
  <si>
    <t xml:space="preserve">optical tracking / packing / xG</t>
  </si>
  <si>
    <t xml:space="preserve">xG is DERIVED research, not a primitive.</t>
  </si>
  <si>
    <t xml:space="preserve">DEFER registry code</t>
  </si>
  <si>
    <t xml:space="preserve">Schema-ready plugin slot only.</t>
  </si>
  <si>
    <t xml:space="preserve">Tennis and golf</t>
  </si>
  <si>
    <t xml:space="preserve">Path models are first-class. Administrative endings are not completed-match worlds.</t>
  </si>
  <si>
    <t xml:space="preserve">No official PrizePicks reboot page for either sport as of 2026-08-27.</t>
  </si>
  <si>
    <t xml:space="preserve">Tennis atom</t>
  </si>
  <si>
    <t xml:space="preserve">Point (serve or return)</t>
  </si>
  <si>
    <t xml:space="preserve">Games/sets/match are aggregates of points under the event code.</t>
  </si>
  <si>
    <t xml:space="preserve">Tennis admin</t>
  </si>
  <si>
    <t xml:space="preserve">Walkover / mid-match retirement</t>
  </si>
  <si>
    <t xml:space="preserve">Walkover ≠ 0-0 completed match. Retirement truncates remaining points.</t>
  </si>
  <si>
    <t xml:space="preserve">Tennis path</t>
  </si>
  <si>
    <t xml:space="preserve">Hold/break probabilities from serve/return point models</t>
  </si>
  <si>
    <t xml:space="preserve">Do not sample match winner independent of points.</t>
  </si>
  <si>
    <t xml:space="preserve">Tennis tracking</t>
  </si>
  <si>
    <t xml:space="preserve">Hawk-Eye / IBM-style extras</t>
  </si>
  <si>
    <t xml:space="preserve">Evidence / research challenger, not a primitive.</t>
  </si>
  <si>
    <t xml:space="preserve">Golf atom</t>
  </si>
  <si>
    <t xml:space="preserve">Hole started / stroke</t>
  </si>
  <si>
    <t xml:space="preserve">SG components are DERIVED.</t>
  </si>
  <si>
    <t xml:space="preserve">Golf cut</t>
  </si>
  <si>
    <t xml:space="preserve">Missed cut terminates R3–R4</t>
  </si>
  <si>
    <t xml:space="preserve">Do not impute Saturday scores.</t>
  </si>
  <si>
    <t xml:space="preserve">Golf admin</t>
  </si>
  <si>
    <t xml:space="preserve">WD / DQ</t>
  </si>
  <si>
    <t xml:space="preserve">Zero remaining holes, not a made-cut world.</t>
  </si>
  <si>
    <t xml:space="preserve">Golf weather</t>
  </si>
  <si>
    <t xml:space="preserve">Event latent</t>
  </si>
  <si>
    <t xml:space="preserve">Suspends or postpones; platform DNP if moved to a new day depends on the in-app chart.</t>
  </si>
  <si>
    <t xml:space="preserve">Tennis listed as eligible Team Pick sport</t>
  </si>
  <si>
    <t xml:space="preserve">Same mixed-lineup rule as soccer.</t>
  </si>
  <si>
    <t xml:space="preserve">DEFER both registries</t>
  </si>
  <si>
    <t xml:space="preserve">FAIL CLOSED reboot.</t>
  </si>
  <si>
    <t xml:space="preserve">Cricket and UFC / MMA</t>
  </si>
  <si>
    <t xml:space="preserve">Cricket matches baseball's record depth with different identities. UFC is a timed state machine that can end early.</t>
  </si>
  <si>
    <t xml:space="preserve">Blueprint: UFC planned after baseball or in parallel research. Neither is WSAB scope.</t>
  </si>
  <si>
    <t xml:space="preserve">Cricket atom</t>
  </si>
  <si>
    <t xml:space="preserve">Ball (faced or bowled)</t>
  </si>
  <si>
    <t xml:space="preserve">Over = 6 legal balls under the code; extras may not consume a ball.</t>
  </si>
  <si>
    <t xml:space="preserve">Cricket DNB</t>
  </si>
  <si>
    <t xml:space="preserve">Did not bat</t>
  </si>
  <si>
    <t xml:space="preserve">DNB is missing appearance. Recording 0 runs poisons both physics and any future reboot analogue.</t>
  </si>
  <si>
    <t xml:space="preserve">Cricket identities</t>
  </si>
  <si>
    <t xml:space="preserve">Bowler BF complementary to batter balls.</t>
  </si>
  <si>
    <t xml:space="preserve">Cricket formats</t>
  </si>
  <si>
    <t xml:space="preserve">Test / ODI / T20 / 100 are different termination rules</t>
  </si>
  <si>
    <t xml:space="preserve">Separate definition versions. Do not pool raw balls across formats without a transform.</t>
  </si>
  <si>
    <t xml:space="preserve">UFC atom</t>
  </si>
  <si>
    <t xml:space="preserve">Fight-second in a positional state</t>
  </si>
  <si>
    <t xml:space="preserve">Standing / clinch / ground.</t>
  </si>
  <si>
    <t xml:space="preserve">UFC termination</t>
  </si>
  <si>
    <t xml:space="preserve">Decision / KO / TKO / sub / DQ / NC</t>
  </si>
  <si>
    <t xml:space="preserve">A R1 finish zeros later-round striking and control.</t>
  </si>
  <si>
    <t xml:space="preserve">UFC admin</t>
  </si>
  <si>
    <t xml:space="preserve">Replacement, missed weight, no contest</t>
  </si>
  <si>
    <t xml:space="preserve">Not a 0-0 fight world.</t>
  </si>
  <si>
    <t xml:space="preserve">None verified for either</t>
  </si>
  <si>
    <t xml:space="preserve">MMA listed as eligible Team Pick sport</t>
  </si>
  <si>
    <t xml:space="preserve">Fight winner / totals follow team-pick rules, not player-reboot rules.</t>
  </si>
  <si>
    <t xml:space="preserve">DEFER code; design against frozen schema</t>
  </si>
  <si>
    <t xml:space="preserve">Do not mint new ledger types.</t>
  </si>
  <si>
    <t xml:space="preserve">Deferred and fail-closed boards</t>
  </si>
  <si>
    <t xml:space="preserve">Schema-ready means the envelope can hold the sport. It does not mean a MarketDefinition exists.</t>
  </si>
  <si>
    <t xml:space="preserve">Build order after football E2E gaps and MLB PA: only then consider these as plugins.</t>
  </si>
  <si>
    <t xml:space="preserve">3-down American football variant</t>
  </si>
  <si>
    <t xml:space="preserve">Unknown PP reboot. DEFER.</t>
  </si>
  <si>
    <t xml:space="preserve">Disposal / contest / time-on-ground</t>
  </si>
  <si>
    <t xml:space="preserve">Unknown PP. DEFER.</t>
  </si>
  <si>
    <t xml:space="preserve">Possession / faceoff / shot clock</t>
  </si>
  <si>
    <t xml:space="preserve">Attack / GK minute</t>
  </si>
  <si>
    <t xml:space="preserve">Shift / TOI / unblocked shot</t>
  </si>
  <si>
    <t xml:space="preserve">Offered on PrizePicks historically; no reboot page. Do not copy NBA 1H.</t>
  </si>
  <si>
    <t xml:space="preserve">Esports</t>
  </si>
  <si>
    <t xml:space="preserve">Title-specific rounds/kills</t>
  </si>
  <si>
    <t xml:space="preserve">FAIL CLOSED until a versioned definition exists.</t>
  </si>
  <si>
    <t xml:space="preserve">OTD / unnamed</t>
  </si>
  <si>
    <t xml:space="preserve">A nickname is not a league key.</t>
  </si>
  <si>
    <t xml:space="preserve">Culture / promo boards</t>
  </si>
  <si>
    <t xml:space="preserve">Platform specials</t>
  </si>
  <si>
    <t xml:space="preserve">Not sports plugins. Capture display hash only if an EntryContract is actually submitted.</t>
  </si>
  <si>
    <t xml:space="preserve">Tracking-only props</t>
  </si>
  <si>
    <t xml:space="preserve">EV, separation, pack speed</t>
  </si>
  <si>
    <t xml:space="preserve">REJECT as production primitives.</t>
  </si>
  <si>
    <t xml:space="preserve">Universal formulas (sport-agnostic settlement + live checks)</t>
  </si>
  <si>
    <t xml:space="preserve">These do not change by sport. Sport plugins feed x_w into them.</t>
  </si>
  <si>
    <t xml:space="preserve">Blue/yellow = inputs.</t>
  </si>
  <si>
    <t xml:space="preserve">Name</t>
  </si>
  <si>
    <t xml:space="preserve">Formula</t>
  </si>
  <si>
    <t xml:space="preserve">Notes</t>
  </si>
  <si>
    <t xml:space="preserve">Comparison MORE</t>
  </si>
  <si>
    <t xml:space="preserve">WIN iff x&gt;L; TIE iff x=L; else LOSS</t>
  </si>
  <si>
    <t xml:space="preserve">DECISION</t>
  </si>
  <si>
    <t xml:space="preserve">PUSH_ON_EXACT</t>
  </si>
  <si>
    <t xml:space="preserve">Comparison LESS</t>
  </si>
  <si>
    <t xml:space="preserve">WIN iff x&lt;L; TIE iff x=L; else LOSS</t>
  </si>
  <si>
    <t xml:space="preserve">LESS never reboots</t>
  </si>
  <si>
    <t xml:space="preserve">Pick conservation</t>
  </si>
  <si>
    <t xml:space="preserve">active + DNP + reboot = N</t>
  </si>
  <si>
    <t xml:space="preserve">Hard fail</t>
  </si>
  <si>
    <t xml:space="preserve">Active partition</t>
  </si>
  <si>
    <t xml:space="preserve">wins + losses + pushes = active</t>
  </si>
  <si>
    <t xml:space="preserve">LB score</t>
  </si>
  <si>
    <t xml:space="preserve">S = Σ q_j I(WIN_j)</t>
  </si>
  <si>
    <t xml:space="preserve">SCORE</t>
  </si>
  <si>
    <t xml:space="preserve">q∈{1.05,1.00,0.95}</t>
  </si>
  <si>
    <t xml:space="preserve">LB cash</t>
  </si>
  <si>
    <t xml:space="preserve">R_LB = L/T if S=max, else 0</t>
  </si>
  <si>
    <t xml:space="preserve">PAYOUT</t>
  </si>
  <si>
    <t xml:space="preserve">Need group context</t>
  </si>
  <si>
    <t xml:space="preserve">R_final = max(R_LB, R_MG)</t>
  </si>
  <si>
    <t xml:space="preserve">Do not stack</t>
  </si>
  <si>
    <t xml:space="preserve">Net</t>
  </si>
  <si>
    <t xml:space="preserve">net = R_final − stake</t>
  </si>
  <si>
    <t xml:space="preserve">REPORTING</t>
  </si>
  <si>
    <t xml:space="preserve">payout&gt;0 ≠ net&gt;0</t>
  </si>
  <si>
    <t xml:space="preserve">MC SE</t>
  </si>
  <si>
    <t xml:space="preserve">sqrt[p̂(1−p̂)/M]</t>
  </si>
  <si>
    <t xml:space="preserve">DIAGNOSTIC</t>
  </si>
  <si>
    <t xml:space="preserve">Not model certainty</t>
  </si>
  <si>
    <t xml:space="preserve">IID LB helper</t>
  </si>
  <si>
    <t xml:space="preserve">L*((q+p)^n−q^n)/(n p)</t>
  </si>
  <si>
    <t xml:space="preserve">RESEARCH_ONLY</t>
  </si>
  <si>
    <t xml:space="preserve">Not production EV</t>
  </si>
  <si>
    <t xml:space="preserve">Live basketball identity check (edit yellow)</t>
  </si>
  <si>
    <t xml:space="preserve">Input</t>
  </si>
  <si>
    <t xml:space="preserve">Value</t>
  </si>
  <si>
    <t xml:space="preserve">Meaning</t>
  </si>
  <si>
    <t xml:space="preserve">FGA</t>
  </si>
  <si>
    <t xml:space="preserve">field goal attempts</t>
  </si>
  <si>
    <t xml:space="preserve">3PA</t>
  </si>
  <si>
    <t xml:space="preserve">threes attempted</t>
  </si>
  <si>
    <t xml:space="preserve">2PM</t>
  </si>
  <si>
    <t xml:space="preserve">twos made</t>
  </si>
  <si>
    <t xml:space="preserve">3PM</t>
  </si>
  <si>
    <t xml:space="preserve">threes made</t>
  </si>
  <si>
    <t xml:space="preserve">FTM</t>
  </si>
  <si>
    <t xml:space="preserve">free throws made</t>
  </si>
  <si>
    <t xml:space="preserve">OREB</t>
  </si>
  <si>
    <t xml:space="preserve">off rebounds</t>
  </si>
  <si>
    <t xml:space="preserve">DREB</t>
  </si>
  <si>
    <t xml:space="preserve">def rebounds</t>
  </si>
  <si>
    <t xml:space="preserve">AST</t>
  </si>
  <si>
    <t xml:space="preserve">assists</t>
  </si>
  <si>
    <t xml:space="preserve">Computed</t>
  </si>
  <si>
    <t xml:space="preserve">Excel</t>
  </si>
  <si>
    <t xml:space="preserve">Result</t>
  </si>
  <si>
    <t xml:space="preserve">2PA</t>
  </si>
  <si>
    <t xml:space="preserve">FGA-3PA</t>
  </si>
  <si>
    <t xml:space="preserve">FGM</t>
  </si>
  <si>
    <t xml:space="preserve">2PM+3PM</t>
  </si>
  <si>
    <t xml:space="preserve">PTS</t>
  </si>
  <si>
    <t xml:space="preserve">2*2PM+3*3PM+FTM</t>
  </si>
  <si>
    <t xml:space="preserve">REB</t>
  </si>
  <si>
    <t xml:space="preserve">OREB+DREB</t>
  </si>
  <si>
    <t xml:space="preserve">PRA</t>
  </si>
  <si>
    <t xml:space="preserve">PTS+REB+AST</t>
  </si>
  <si>
    <t xml:space="preserve">bounds_ok</t>
  </si>
  <si>
    <t xml:space="preserve">makes ≤ attempts</t>
  </si>
  <si>
    <t xml:space="preserve">Four-gate checklist before a sport can be selected</t>
  </si>
  <si>
    <t xml:space="preserve">Fill this when a new league is proposed. Yellow inputs. Formulas compute the gate.</t>
  </si>
  <si>
    <t xml:space="preserve">A single NO fails the sport closed for production selection.</t>
  </si>
  <si>
    <t xml:space="preserve">Proposed league (edit)</t>
  </si>
  <si>
    <t xml:space="preserve">Gate</t>
  </si>
  <si>
    <t xml:space="preserve">Present? (YES/NO)</t>
  </si>
  <si>
    <t xml:space="preserve">Pass?</t>
  </si>
  <si>
    <t xml:space="preserve">What 'YES' requires</t>
  </si>
  <si>
    <t xml:space="preserve">1 Appearance atom defined</t>
  </si>
  <si>
    <t xml:space="preserve">YES</t>
  </si>
  <si>
    <t xml:space="preserve">Named atom + zero-opportunity paths + termination</t>
  </si>
  <si>
    <t xml:space="preserve">2 Efficiency separate from opportunity</t>
  </si>
  <si>
    <t xml:space="preserve">Rates do not invent minutes/snaps/PA</t>
  </si>
  <si>
    <t xml:space="preserve">3 Conservation identities encoded + tested</t>
  </si>
  <si>
    <t xml:space="preserve">P(failure)=0 on exact rows; corruption tests exist</t>
  </si>
  <si>
    <t xml:space="preserve">4 Verified MarketDefinition + reboot/DNP row</t>
  </si>
  <si>
    <t xml:space="preserve">Official page or hashed in-app chart; else NO</t>
  </si>
  <si>
    <t xml:space="preserve">Sport selectable?</t>
  </si>
  <si>
    <t xml:space="preserve">Instructions</t>
  </si>
  <si>
    <t xml:space="preserve">Change B5 to CFL and set B10 to NO — B11 must read FAIL CLOSED. That is the intended use.</t>
  </si>
  <si>
    <t xml:space="preserve">Sources</t>
  </si>
  <si>
    <t xml:space="preserve">Official pages outrank commentary. This book does not invent soccer/tennis/golf reboot rules.</t>
  </si>
  <si>
    <t xml:space="preserve">Retrieved 2026-08-27.</t>
  </si>
  <si>
    <t xml:space="preserve">Source</t>
  </si>
  <si>
    <t xml:space="preserve">Used for</t>
  </si>
  <si>
    <t xml:space="preserve">https://www.prizepicks.com/reboots</t>
  </si>
  <si>
    <t xml:space="preserve">OFFICIAL</t>
  </si>
  <si>
    <t xml:space="preserve">NBA WNBA NFL CFB MLB reboot windows, exclusions, already-cleared MORE</t>
  </si>
  <si>
    <t xml:space="preserve">https://www.prizepicks.com/help-center/dnps-reboots-and-ties</t>
  </si>
  <si>
    <t xml:space="preserve">DNP vs Reboot vs Tie; soccer start-required DNP family; same-team refund</t>
  </si>
  <si>
    <t xml:space="preserve">https://www.prizepicks.com/help-center/potential-outcomes</t>
  </si>
  <si>
    <t xml:space="preserve">LB weights; max(LB,MG); team-pick sports list incl. soccer MMA tennis</t>
  </si>
  <si>
    <t xml:space="preserve">2025 MLB Reboot T&amp;C PDF</t>
  </si>
  <si>
    <t xml:space="preserve">OFFICIAL HISTORICAL</t>
  </si>
  <si>
    <t xml:space="preserve">Pitchers excluded; two-way split; spring/ASG excluded that year</t>
  </si>
  <si>
    <t xml:space="preserve">ADR-V6-001 + WSAB package</t>
  </si>
  <si>
    <t xml:space="preserve">INTERNAL</t>
  </si>
  <si>
    <t xml:space="preserve">Football encoding, schema freeze posture, test counts</t>
  </si>
  <si>
    <t xml:space="preserve">Master Blueprint 2026-08-27</t>
  </si>
  <si>
    <t xml:space="preserve">Build order, appearance contract, fail-closed codes</t>
  </si>
  <si>
    <t xml:space="preserve">Football workbook in this folder</t>
  </si>
  <si>
    <t xml:space="preserve">NFL clause detail and official CFB 44-name snapshot</t>
  </si>
  <si>
    <t xml:space="preserve">If a live official page disagrees with this workbook, cut a new snapshot version. Do not silently edit PRIZEPICKS_PLAYER_PICKS_2026-08-25_V1. Commentary sites that say CFB reboot covers the regular season are not authority.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</si>
</sst>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65D"/>
      <name val="Arial"/>
      <family val="0"/>
      <charset val="1"/>
    </font>
    <font>
      <i val="true"/>
      <sz val="11"/>
      <color rgb="FF2C4A6E"/>
      <name val="Arial"/>
      <family val="0"/>
      <charset val="1"/>
    </font>
    <font>
      <sz val="9"/>
      <color rgb="FF5A65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222222"/>
      <name val="Arial"/>
      <family val="0"/>
      <charset val="1"/>
    </font>
    <font>
      <i val="true"/>
      <sz val="11"/>
      <color rgb="FF7A4F00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C4A6E"/>
      <name val="Arial"/>
      <family val="0"/>
      <charset val="1"/>
    </font>
    <font>
      <b val="true"/>
      <sz val="11"/>
      <color rgb="FF7A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222222"/>
      <name val="Arial"/>
      <family val="0"/>
      <charset val="1"/>
    </font>
    <font>
      <sz val="11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F4E5F"/>
      </patternFill>
    </fill>
    <fill>
      <patternFill patternType="solid">
        <fgColor rgb="FFF4F7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8F1E4"/>
        <bgColor rgb="FFF6E8E8"/>
      </patternFill>
    </fill>
    <fill>
      <patternFill patternType="solid">
        <fgColor rgb="FFD6EAF8"/>
        <bgColor rgb="FFE8EEF4"/>
      </patternFill>
    </fill>
    <fill>
      <patternFill patternType="solid">
        <fgColor rgb="FFE8EEF4"/>
        <bgColor rgb="FFF4F7FA"/>
      </patternFill>
    </fill>
    <fill>
      <patternFill patternType="solid">
        <fgColor rgb="FFF6E8E8"/>
        <bgColor rgb="FFF8F1E4"/>
      </patternFill>
    </fill>
    <fill>
      <patternFill patternType="solid">
        <fgColor rgb="FFFFF3B0"/>
        <bgColor rgb="FFF8F1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  <border diagonalUp="false" diagonalDown="false">
      <left style="thin">
        <color rgb="FFC5CDD6"/>
      </left>
      <right/>
      <top style="thin">
        <color rgb="FFC5CD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4F00"/>
      <rgbColor rgb="FF196F3D"/>
      <rgbColor rgb="FF000080"/>
      <rgbColor rgb="FF8A6D3B"/>
      <rgbColor rgb="FF800080"/>
      <rgbColor rgb="FF117A65"/>
      <rgbColor rgb="FFC5CDD6"/>
      <rgbColor rgb="FF878787"/>
      <rgbColor rgb="FF9999FF"/>
      <rgbColor rgb="FF7D3C98"/>
      <rgbColor rgb="FFF8F1E4"/>
      <rgbColor rgb="FFD6EAF8"/>
      <rgbColor rgb="FF660066"/>
      <rgbColor rgb="FFFF8080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1B5E3B"/>
      <rgbColor rgb="FF0000FF"/>
      <rgbColor rgb="FF00CCFF"/>
      <rgbColor rgb="FFE8EEF4"/>
      <rgbColor rgb="FFF4F7FA"/>
      <rgbColor rgb="FFFFF3B0"/>
      <rgbColor rgb="FFF9F9F9"/>
      <rgbColor rgb="FFFF99CC"/>
      <rgbColor rgb="FFCC99FF"/>
      <rgbColor rgb="FFF6E8E8"/>
      <rgbColor rgb="FF4F81BD"/>
      <rgbColor rgb="FF33CCCC"/>
      <rgbColor rgb="FF99CC00"/>
      <rgbColor rgb="FFFFCC00"/>
      <rgbColor rgb="FFFF9900"/>
      <rgbColor rgb="FFC0392B"/>
      <rgbColor rgb="FF5A6570"/>
      <rgbColor rgb="FF969696"/>
      <rgbColor rgb="FF1B365D"/>
      <rgbColor rgb="FF339966"/>
      <rgbColor rgb="FF003300"/>
      <rgbColor rgb="FF1F4E5F"/>
      <rgbColor rgb="FF7A1F1F"/>
      <rgbColor rgb="FF6C3483"/>
      <rgbColor rgb="FF2C4A6E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DCM class buckets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01_SPORT_INDEX!B34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01_SPORT_INDEX!$A$35:$A$38</c:f>
              <c:strCache>
                <c:ptCount val="4"/>
                <c:pt idx="0">
                  <c:v>LIVE / IMPLEMENT NOW family</c:v>
                </c:pt>
                <c:pt idx="1">
                  <c:v>Gated / research</c:v>
                </c:pt>
                <c:pt idx="2">
                  <c:v>Deferred</c:v>
                </c:pt>
                <c:pt idx="3">
                  <c:v>Fail closed</c:v>
                </c:pt>
              </c:strCache>
            </c:strRef>
          </c:cat>
          <c:val>
            <c:numRef>
              <c:f>01_SPORT_INDEX!$B$35:$B$38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59153524"/>
        <c:axId val="5883298"/>
      </c:barChart>
      <c:catAx>
        <c:axId val="59153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3298"/>
        <c:crosses val="autoZero"/>
        <c:auto val="1"/>
        <c:lblAlgn val="ctr"/>
        <c:lblOffset val="100"/>
        <c:noMultiLvlLbl val="0"/>
      </c:catAx>
      <c:valAx>
        <c:axId val="5883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Leagues in catalog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53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30</xdr:row>
      <xdr:rowOff>210600</xdr:rowOff>
    </xdr:from>
    <xdr:to>
      <xdr:col>6</xdr:col>
      <xdr:colOff>1029600</xdr:colOff>
      <xdr:row>41</xdr:row>
      <xdr:rowOff>135000</xdr:rowOff>
    </xdr:to>
    <xdr:graphicFrame>
      <xdr:nvGraphicFramePr>
        <xdr:cNvPr id="0" name="Chart 1"/>
        <xdr:cNvGraphicFramePr/>
      </xdr:nvGraphicFramePr>
      <xdr:xfrm>
        <a:off x="3947040" y="11972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/>
      <c r="B5" s="4"/>
    </row>
    <row r="6" customFormat="false" ht="19.5" hidden="false" customHeight="true" outlineLevel="0" collapsed="false">
      <c r="A6" s="5" t="s">
        <v>3</v>
      </c>
      <c r="B6" s="5" t="s">
        <v>4</v>
      </c>
    </row>
    <row r="7" customFormat="false" ht="19.5" hidden="false" customHeight="true" outlineLevel="0" collapsed="false">
      <c r="A7" s="6" t="s">
        <v>5</v>
      </c>
      <c r="B7" s="6" t="s">
        <v>6</v>
      </c>
    </row>
    <row r="8" customFormat="false" ht="19.5" hidden="false" customHeight="true" outlineLevel="0" collapsed="false">
      <c r="A8" s="5" t="s">
        <v>7</v>
      </c>
      <c r="B8" s="5" t="s">
        <v>8</v>
      </c>
    </row>
    <row r="9" customFormat="false" ht="19.5" hidden="false" customHeight="true" outlineLevel="0" collapsed="false">
      <c r="A9" s="6" t="s">
        <v>9</v>
      </c>
      <c r="B9" s="6" t="s">
        <v>10</v>
      </c>
    </row>
    <row r="10" customFormat="false" ht="19.5" hidden="false" customHeight="true" outlineLevel="0" collapsed="false">
      <c r="A10" s="5" t="s">
        <v>11</v>
      </c>
      <c r="B10" s="5" t="s">
        <v>12</v>
      </c>
    </row>
    <row r="11" customFormat="false" ht="19.5" hidden="false" customHeight="true" outlineLevel="0" collapsed="false">
      <c r="A11" s="6" t="s">
        <v>13</v>
      </c>
      <c r="B11" s="6" t="s">
        <v>14</v>
      </c>
    </row>
    <row r="12" customFormat="false" ht="19.5" hidden="false" customHeight="true" outlineLevel="0" collapsed="false">
      <c r="A12" s="5" t="s">
        <v>15</v>
      </c>
      <c r="B12" s="5" t="s">
        <v>16</v>
      </c>
    </row>
    <row r="13" customFormat="false" ht="19.5" hidden="false" customHeight="true" outlineLevel="0" collapsed="false">
      <c r="A13" s="6" t="s">
        <v>17</v>
      </c>
      <c r="B13" s="6" t="s">
        <v>18</v>
      </c>
    </row>
    <row r="14" customFormat="false" ht="19.5" hidden="false" customHeight="true" outlineLevel="0" collapsed="false">
      <c r="A14" s="5" t="s">
        <v>19</v>
      </c>
      <c r="B14" s="5" t="s">
        <v>20</v>
      </c>
    </row>
    <row r="15" customFormat="false" ht="19.5" hidden="false" customHeight="true" outlineLevel="0" collapsed="false">
      <c r="A15" s="6" t="s">
        <v>21</v>
      </c>
      <c r="B15" s="6" t="s">
        <v>22</v>
      </c>
    </row>
    <row r="16" customFormat="false" ht="19.5" hidden="false" customHeight="true" outlineLevel="0" collapsed="false">
      <c r="A16" s="5" t="s">
        <v>23</v>
      </c>
      <c r="B16" s="5" t="s">
        <v>24</v>
      </c>
    </row>
    <row r="17" customFormat="false" ht="19.5" hidden="false" customHeight="true" outlineLevel="0" collapsed="false">
      <c r="A17" s="6" t="s">
        <v>25</v>
      </c>
      <c r="B17" s="6" t="s">
        <v>26</v>
      </c>
    </row>
    <row r="18" customFormat="false" ht="19.5" hidden="false" customHeight="true" outlineLevel="0" collapsed="false">
      <c r="A18" s="5" t="s">
        <v>27</v>
      </c>
      <c r="B18" s="5" t="s">
        <v>28</v>
      </c>
    </row>
    <row r="19" customFormat="false" ht="19.5" hidden="false" customHeight="true" outlineLevel="0" collapsed="false">
      <c r="A19" s="6" t="s">
        <v>29</v>
      </c>
      <c r="B19" s="6" t="s">
        <v>30</v>
      </c>
    </row>
    <row r="20" customFormat="false" ht="19.5" hidden="false" customHeight="true" outlineLevel="0" collapsed="false">
      <c r="A20" s="5" t="s">
        <v>31</v>
      </c>
      <c r="B20" s="5" t="s">
        <v>32</v>
      </c>
    </row>
    <row r="21" customFormat="false" ht="19.5" hidden="false" customHeight="true" outlineLevel="0" collapsed="false">
      <c r="A21" s="6" t="s">
        <v>33</v>
      </c>
      <c r="B21" s="6" t="s">
        <v>34</v>
      </c>
    </row>
    <row r="23" customFormat="false" ht="63.75" hidden="false" customHeight="true" outlineLevel="0" collapsed="false">
      <c r="A23" s="7" t="s">
        <v>35</v>
      </c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</sheetData>
  <mergeCells count="4">
    <mergeCell ref="A1:H1"/>
    <mergeCell ref="A2:H2"/>
    <mergeCell ref="A3:H3"/>
    <mergeCell ref="A23:H25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4A6E"/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28"/>
    <col collapsed="false" customWidth="true" hidden="false" outlineLevel="0" max="8" min="8" style="0" width="36"/>
  </cols>
  <sheetData>
    <row r="1" customFormat="false" ht="19.7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38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</row>
    <row r="6" customFormat="false" ht="36" hidden="false" customHeight="true" outlineLevel="0" collapsed="false">
      <c r="A6" s="5" t="s">
        <v>47</v>
      </c>
      <c r="B6" s="5" t="s">
        <v>48</v>
      </c>
      <c r="C6" s="5" t="s">
        <v>49</v>
      </c>
      <c r="D6" s="8" t="s">
        <v>50</v>
      </c>
      <c r="E6" s="5" t="s">
        <v>51</v>
      </c>
      <c r="F6" s="5" t="s">
        <v>52</v>
      </c>
      <c r="G6" s="5" t="s">
        <v>53</v>
      </c>
      <c r="H6" s="5" t="s">
        <v>54</v>
      </c>
    </row>
    <row r="7" customFormat="false" ht="36" hidden="false" customHeight="true" outlineLevel="0" collapsed="false">
      <c r="A7" s="6" t="s">
        <v>47</v>
      </c>
      <c r="B7" s="6" t="s">
        <v>55</v>
      </c>
      <c r="C7" s="6" t="s">
        <v>49</v>
      </c>
      <c r="D7" s="8" t="s">
        <v>50</v>
      </c>
      <c r="E7" s="6" t="s">
        <v>56</v>
      </c>
      <c r="F7" s="6" t="s">
        <v>52</v>
      </c>
      <c r="G7" s="6" t="s">
        <v>57</v>
      </c>
      <c r="H7" s="6" t="s">
        <v>58</v>
      </c>
    </row>
    <row r="8" customFormat="false" ht="36" hidden="false" customHeight="true" outlineLevel="0" collapsed="false">
      <c r="A8" s="5" t="s">
        <v>59</v>
      </c>
      <c r="B8" s="5" t="s">
        <v>60</v>
      </c>
      <c r="C8" s="5" t="s">
        <v>61</v>
      </c>
      <c r="D8" s="9" t="s">
        <v>62</v>
      </c>
      <c r="E8" s="5" t="s">
        <v>63</v>
      </c>
      <c r="F8" s="5" t="s">
        <v>64</v>
      </c>
      <c r="G8" s="5" t="s">
        <v>65</v>
      </c>
      <c r="H8" s="5" t="s">
        <v>66</v>
      </c>
    </row>
    <row r="9" customFormat="false" ht="36" hidden="false" customHeight="true" outlineLevel="0" collapsed="false">
      <c r="A9" s="6" t="s">
        <v>59</v>
      </c>
      <c r="B9" s="6" t="s">
        <v>67</v>
      </c>
      <c r="C9" s="6" t="s">
        <v>68</v>
      </c>
      <c r="D9" s="9" t="s">
        <v>62</v>
      </c>
      <c r="E9" s="6" t="s">
        <v>69</v>
      </c>
      <c r="F9" s="6" t="s">
        <v>70</v>
      </c>
      <c r="G9" s="6" t="s">
        <v>68</v>
      </c>
      <c r="H9" s="6" t="s">
        <v>68</v>
      </c>
    </row>
    <row r="10" customFormat="false" ht="36" hidden="false" customHeight="true" outlineLevel="0" collapsed="false">
      <c r="A10" s="5" t="s">
        <v>59</v>
      </c>
      <c r="B10" s="5" t="s">
        <v>71</v>
      </c>
      <c r="C10" s="5" t="s">
        <v>72</v>
      </c>
      <c r="D10" s="8" t="s">
        <v>73</v>
      </c>
      <c r="E10" s="5" t="s">
        <v>74</v>
      </c>
      <c r="F10" s="5" t="s">
        <v>75</v>
      </c>
      <c r="G10" s="5" t="s">
        <v>76</v>
      </c>
      <c r="H10" s="5" t="s">
        <v>77</v>
      </c>
    </row>
    <row r="11" customFormat="false" ht="36" hidden="false" customHeight="true" outlineLevel="0" collapsed="false">
      <c r="A11" s="6" t="s">
        <v>59</v>
      </c>
      <c r="B11" s="6" t="s">
        <v>78</v>
      </c>
      <c r="C11" s="6" t="s">
        <v>61</v>
      </c>
      <c r="D11" s="8" t="s">
        <v>79</v>
      </c>
      <c r="E11" s="6" t="s">
        <v>80</v>
      </c>
      <c r="F11" s="6" t="s">
        <v>81</v>
      </c>
      <c r="G11" s="6" t="s">
        <v>82</v>
      </c>
      <c r="H11" s="6" t="s">
        <v>83</v>
      </c>
    </row>
    <row r="12" customFormat="false" ht="36" hidden="false" customHeight="true" outlineLevel="0" collapsed="false">
      <c r="A12" s="5" t="s">
        <v>59</v>
      </c>
      <c r="B12" s="5" t="s">
        <v>84</v>
      </c>
      <c r="C12" s="5" t="s">
        <v>85</v>
      </c>
      <c r="D12" s="10" t="s">
        <v>86</v>
      </c>
      <c r="E12" s="5" t="s">
        <v>87</v>
      </c>
      <c r="F12" s="5" t="s">
        <v>88</v>
      </c>
      <c r="G12" s="5" t="s">
        <v>89</v>
      </c>
      <c r="H12" s="5" t="s">
        <v>90</v>
      </c>
    </row>
    <row r="13" customFormat="false" ht="36" hidden="false" customHeight="true" outlineLevel="0" collapsed="false">
      <c r="A13" s="6" t="s">
        <v>59</v>
      </c>
      <c r="B13" s="6" t="s">
        <v>91</v>
      </c>
      <c r="C13" s="6" t="s">
        <v>92</v>
      </c>
      <c r="D13" s="10" t="s">
        <v>86</v>
      </c>
      <c r="E13" s="6" t="s">
        <v>87</v>
      </c>
      <c r="F13" s="6" t="s">
        <v>88</v>
      </c>
      <c r="G13" s="6" t="s">
        <v>89</v>
      </c>
      <c r="H13" s="6" t="s">
        <v>93</v>
      </c>
    </row>
    <row r="14" customFormat="false" ht="36" hidden="false" customHeight="true" outlineLevel="0" collapsed="false">
      <c r="A14" s="5" t="s">
        <v>94</v>
      </c>
      <c r="B14" s="5" t="s">
        <v>95</v>
      </c>
      <c r="C14" s="5" t="s">
        <v>96</v>
      </c>
      <c r="D14" s="8" t="s">
        <v>97</v>
      </c>
      <c r="E14" s="5" t="s">
        <v>98</v>
      </c>
      <c r="F14" s="5" t="s">
        <v>99</v>
      </c>
      <c r="G14" s="5" t="s">
        <v>100</v>
      </c>
      <c r="H14" s="5" t="s">
        <v>101</v>
      </c>
    </row>
    <row r="15" customFormat="false" ht="36" hidden="false" customHeight="true" outlineLevel="0" collapsed="false">
      <c r="A15" s="6" t="s">
        <v>94</v>
      </c>
      <c r="B15" s="6" t="s">
        <v>102</v>
      </c>
      <c r="C15" s="6" t="s">
        <v>103</v>
      </c>
      <c r="D15" s="8" t="s">
        <v>104</v>
      </c>
      <c r="E15" s="6" t="s">
        <v>87</v>
      </c>
      <c r="F15" s="6" t="s">
        <v>105</v>
      </c>
      <c r="G15" s="6" t="s">
        <v>106</v>
      </c>
      <c r="H15" s="6" t="s">
        <v>107</v>
      </c>
    </row>
    <row r="16" customFormat="false" ht="36" hidden="false" customHeight="true" outlineLevel="0" collapsed="false">
      <c r="A16" s="5" t="s">
        <v>94</v>
      </c>
      <c r="B16" s="5" t="s">
        <v>108</v>
      </c>
      <c r="C16" s="5" t="s">
        <v>109</v>
      </c>
      <c r="D16" s="10" t="s">
        <v>86</v>
      </c>
      <c r="E16" s="5" t="s">
        <v>87</v>
      </c>
      <c r="F16" s="5" t="s">
        <v>110</v>
      </c>
      <c r="G16" s="5" t="s">
        <v>89</v>
      </c>
      <c r="H16" s="5" t="s">
        <v>111</v>
      </c>
    </row>
    <row r="17" customFormat="false" ht="36" hidden="false" customHeight="true" outlineLevel="0" collapsed="false">
      <c r="A17" s="6" t="s">
        <v>112</v>
      </c>
      <c r="B17" s="6" t="s">
        <v>113</v>
      </c>
      <c r="C17" s="6" t="s">
        <v>114</v>
      </c>
      <c r="D17" s="10" t="s">
        <v>86</v>
      </c>
      <c r="E17" s="6" t="s">
        <v>87</v>
      </c>
      <c r="F17" s="6" t="s">
        <v>115</v>
      </c>
      <c r="G17" s="6" t="s">
        <v>116</v>
      </c>
      <c r="H17" s="6" t="s">
        <v>117</v>
      </c>
    </row>
    <row r="18" customFormat="false" ht="36" hidden="false" customHeight="true" outlineLevel="0" collapsed="false">
      <c r="A18" s="5" t="s">
        <v>118</v>
      </c>
      <c r="B18" s="5" t="s">
        <v>119</v>
      </c>
      <c r="C18" s="5" t="s">
        <v>120</v>
      </c>
      <c r="D18" s="10" t="s">
        <v>86</v>
      </c>
      <c r="E18" s="5" t="s">
        <v>87</v>
      </c>
      <c r="F18" s="5" t="s">
        <v>115</v>
      </c>
      <c r="G18" s="5" t="s">
        <v>121</v>
      </c>
      <c r="H18" s="5" t="s">
        <v>122</v>
      </c>
    </row>
    <row r="19" customFormat="false" ht="36" hidden="false" customHeight="true" outlineLevel="0" collapsed="false">
      <c r="A19" s="6" t="s">
        <v>123</v>
      </c>
      <c r="B19" s="6" t="s">
        <v>124</v>
      </c>
      <c r="C19" s="6" t="s">
        <v>125</v>
      </c>
      <c r="D19" s="10" t="s">
        <v>86</v>
      </c>
      <c r="E19" s="6" t="s">
        <v>87</v>
      </c>
      <c r="F19" s="6" t="s">
        <v>115</v>
      </c>
      <c r="G19" s="6" t="s">
        <v>126</v>
      </c>
      <c r="H19" s="6" t="s">
        <v>127</v>
      </c>
    </row>
    <row r="20" customFormat="false" ht="36" hidden="false" customHeight="true" outlineLevel="0" collapsed="false">
      <c r="A20" s="5" t="s">
        <v>128</v>
      </c>
      <c r="B20" s="5" t="s">
        <v>129</v>
      </c>
      <c r="C20" s="5" t="s">
        <v>130</v>
      </c>
      <c r="D20" s="10" t="s">
        <v>86</v>
      </c>
      <c r="E20" s="5" t="s">
        <v>87</v>
      </c>
      <c r="F20" s="5" t="s">
        <v>115</v>
      </c>
      <c r="G20" s="5" t="s">
        <v>131</v>
      </c>
      <c r="H20" s="5" t="s">
        <v>132</v>
      </c>
    </row>
    <row r="21" customFormat="false" ht="36" hidden="false" customHeight="true" outlineLevel="0" collapsed="false">
      <c r="A21" s="6" t="s">
        <v>133</v>
      </c>
      <c r="B21" s="6" t="s">
        <v>134</v>
      </c>
      <c r="C21" s="6" t="s">
        <v>135</v>
      </c>
      <c r="D21" s="8" t="s">
        <v>136</v>
      </c>
      <c r="E21" s="6" t="s">
        <v>87</v>
      </c>
      <c r="F21" s="6" t="s">
        <v>115</v>
      </c>
      <c r="G21" s="6" t="s">
        <v>137</v>
      </c>
      <c r="H21" s="6" t="s">
        <v>138</v>
      </c>
    </row>
    <row r="22" customFormat="false" ht="36" hidden="false" customHeight="true" outlineLevel="0" collapsed="false">
      <c r="A22" s="5" t="s">
        <v>139</v>
      </c>
      <c r="B22" s="5" t="s">
        <v>140</v>
      </c>
      <c r="C22" s="5" t="s">
        <v>141</v>
      </c>
      <c r="D22" s="10" t="s">
        <v>86</v>
      </c>
      <c r="E22" s="5" t="s">
        <v>87</v>
      </c>
      <c r="F22" s="5" t="s">
        <v>88</v>
      </c>
      <c r="G22" s="5" t="s">
        <v>89</v>
      </c>
      <c r="H22" s="5" t="s">
        <v>142</v>
      </c>
    </row>
    <row r="23" customFormat="false" ht="36" hidden="false" customHeight="true" outlineLevel="0" collapsed="false">
      <c r="A23" s="6" t="s">
        <v>143</v>
      </c>
      <c r="B23" s="6" t="s">
        <v>144</v>
      </c>
      <c r="C23" s="6" t="s">
        <v>145</v>
      </c>
      <c r="D23" s="10" t="s">
        <v>86</v>
      </c>
      <c r="E23" s="6" t="s">
        <v>87</v>
      </c>
      <c r="F23" s="6" t="s">
        <v>88</v>
      </c>
      <c r="G23" s="6" t="s">
        <v>89</v>
      </c>
      <c r="H23" s="6" t="s">
        <v>146</v>
      </c>
    </row>
    <row r="24" customFormat="false" ht="36" hidden="false" customHeight="true" outlineLevel="0" collapsed="false">
      <c r="A24" s="5" t="s">
        <v>147</v>
      </c>
      <c r="B24" s="5" t="s">
        <v>148</v>
      </c>
      <c r="C24" s="5" t="s">
        <v>149</v>
      </c>
      <c r="D24" s="8" t="s">
        <v>150</v>
      </c>
      <c r="E24" s="5" t="s">
        <v>87</v>
      </c>
      <c r="F24" s="5" t="s">
        <v>115</v>
      </c>
      <c r="G24" s="5" t="s">
        <v>151</v>
      </c>
      <c r="H24" s="5" t="s">
        <v>152</v>
      </c>
    </row>
    <row r="25" customFormat="false" ht="36" hidden="false" customHeight="true" outlineLevel="0" collapsed="false">
      <c r="A25" s="6" t="s">
        <v>153</v>
      </c>
      <c r="B25" s="6" t="s">
        <v>154</v>
      </c>
      <c r="C25" s="6" t="s">
        <v>155</v>
      </c>
      <c r="D25" s="11" t="s">
        <v>156</v>
      </c>
      <c r="E25" s="6" t="s">
        <v>87</v>
      </c>
      <c r="F25" s="6" t="s">
        <v>115</v>
      </c>
      <c r="G25" s="6" t="s">
        <v>89</v>
      </c>
      <c r="H25" s="6" t="s">
        <v>157</v>
      </c>
    </row>
    <row r="26" customFormat="false" ht="36" hidden="false" customHeight="true" outlineLevel="0" collapsed="false">
      <c r="A26" s="5" t="s">
        <v>158</v>
      </c>
      <c r="B26" s="5" t="s">
        <v>159</v>
      </c>
      <c r="C26" s="5" t="s">
        <v>89</v>
      </c>
      <c r="D26" s="11" t="s">
        <v>156</v>
      </c>
      <c r="E26" s="5" t="s">
        <v>87</v>
      </c>
      <c r="F26" s="5" t="s">
        <v>160</v>
      </c>
      <c r="G26" s="5" t="s">
        <v>89</v>
      </c>
      <c r="H26" s="5" t="s">
        <v>161</v>
      </c>
    </row>
    <row r="28" customFormat="false" ht="15" hidden="false" customHeight="true" outlineLevel="0" collapsed="false">
      <c r="A28" s="12" t="s">
        <v>162</v>
      </c>
      <c r="B28" s="12"/>
      <c r="C28" s="12"/>
    </row>
    <row r="29" customFormat="false" ht="26.85" hidden="false" customHeight="false" outlineLevel="0" collapsed="false">
      <c r="A29" s="13" t="s">
        <v>163</v>
      </c>
      <c r="B29" s="13" t="n">
        <f aca="false">COUNTA(B6:B26)</f>
        <v>21</v>
      </c>
    </row>
    <row r="30" customFormat="false" ht="26.85" hidden="false" customHeight="false" outlineLevel="0" collapsed="false">
      <c r="A30" s="13" t="s">
        <v>164</v>
      </c>
      <c r="B30" s="13" t="n">
        <f aca="false">COUNTIF(F6:F26,"YES*")</f>
        <v>6</v>
      </c>
    </row>
    <row r="31" customFormat="false" ht="26.85" hidden="false" customHeight="false" outlineLevel="0" collapsed="false">
      <c r="A31" s="13" t="s">
        <v>165</v>
      </c>
      <c r="B31" s="13" t="n">
        <f aca="false">COUNTIF(F6:F26,"NO*")</f>
        <v>13</v>
      </c>
    </row>
    <row r="32" customFormat="false" ht="39.55" hidden="false" customHeight="false" outlineLevel="0" collapsed="false">
      <c r="A32" s="13" t="s">
        <v>166</v>
      </c>
      <c r="B32" s="13" t="n">
        <f aca="false">COUNTIF(D6:D26,"FAIL CLOSED*")</f>
        <v>3</v>
      </c>
    </row>
    <row r="34" customFormat="false" ht="21.75" hidden="false" customHeight="true" outlineLevel="0" collapsed="false">
      <c r="A34" s="4" t="s">
        <v>167</v>
      </c>
      <c r="B34" s="4" t="s">
        <v>168</v>
      </c>
    </row>
    <row r="35" customFormat="false" ht="39.55" hidden="false" customHeight="false" outlineLevel="0" collapsed="false">
      <c r="A35" s="6" t="s">
        <v>169</v>
      </c>
      <c r="B35" s="6" t="n">
        <f aca="false">COUNTIF(D6:D26,"LIVE*")+COUNTIF(D6:D26,"IMPLEMENT NOW")</f>
        <v>4</v>
      </c>
    </row>
    <row r="36" customFormat="false" ht="15" hidden="false" customHeight="false" outlineLevel="0" collapsed="false">
      <c r="A36" s="6" t="s">
        <v>170</v>
      </c>
      <c r="B36" s="6" t="n">
        <f aca="false">COUNTIF(D6:D26,"*RESEARCH*")+COUNTIF(D6:D26,"PHYSICS YES*")+COUNTIF(D6:D26,"ANALYTICS ONLY")+COUNTIF(D6:D26,"PLANNED*")</f>
        <v>5</v>
      </c>
    </row>
    <row r="37" customFormat="false" ht="15" hidden="false" customHeight="false" outlineLevel="0" collapsed="false">
      <c r="A37" s="6" t="s">
        <v>171</v>
      </c>
      <c r="B37" s="6" t="n">
        <f aca="false">COUNTIF(D6:D26,"DEFER*")</f>
        <v>10</v>
      </c>
    </row>
    <row r="38" customFormat="false" ht="15" hidden="false" customHeight="false" outlineLevel="0" collapsed="false">
      <c r="A38" s="6" t="s">
        <v>172</v>
      </c>
      <c r="B38" s="6" t="n">
        <f aca="false">COUNTIF(D6:D26,"FAIL CLOSED*")</f>
        <v>3</v>
      </c>
    </row>
  </sheetData>
  <mergeCells count="4">
    <mergeCell ref="A1:H1"/>
    <mergeCell ref="A2:H2"/>
    <mergeCell ref="A3:H3"/>
    <mergeCell ref="A28:C28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174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175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176</v>
      </c>
      <c r="B5" s="4" t="s">
        <v>177</v>
      </c>
      <c r="C5" s="4" t="s">
        <v>178</v>
      </c>
      <c r="D5" s="4" t="s">
        <v>179</v>
      </c>
      <c r="E5" s="4" t="s">
        <v>180</v>
      </c>
    </row>
    <row r="6" customFormat="false" ht="39.75" hidden="false" customHeight="true" outlineLevel="0" collapsed="false">
      <c r="A6" s="5" t="s">
        <v>181</v>
      </c>
      <c r="B6" s="5" t="s">
        <v>182</v>
      </c>
      <c r="C6" s="5" t="s">
        <v>183</v>
      </c>
      <c r="D6" s="5" t="s">
        <v>184</v>
      </c>
      <c r="E6" s="5" t="s">
        <v>185</v>
      </c>
    </row>
    <row r="7" customFormat="false" ht="39.75" hidden="false" customHeight="true" outlineLevel="0" collapsed="false">
      <c r="A7" s="6" t="s">
        <v>186</v>
      </c>
      <c r="B7" s="6" t="s">
        <v>187</v>
      </c>
      <c r="C7" s="6" t="s">
        <v>188</v>
      </c>
      <c r="D7" s="6" t="s">
        <v>189</v>
      </c>
      <c r="E7" s="6" t="s">
        <v>190</v>
      </c>
    </row>
    <row r="8" customFormat="false" ht="39.75" hidden="false" customHeight="true" outlineLevel="0" collapsed="false">
      <c r="A8" s="5" t="s">
        <v>191</v>
      </c>
      <c r="B8" s="5" t="s">
        <v>192</v>
      </c>
      <c r="C8" s="5" t="s">
        <v>193</v>
      </c>
      <c r="D8" s="5" t="s">
        <v>194</v>
      </c>
      <c r="E8" s="5" t="s">
        <v>195</v>
      </c>
    </row>
    <row r="9" customFormat="false" ht="39.75" hidden="false" customHeight="true" outlineLevel="0" collapsed="false">
      <c r="A9" s="6" t="s">
        <v>95</v>
      </c>
      <c r="B9" s="6" t="s">
        <v>196</v>
      </c>
      <c r="C9" s="6" t="s">
        <v>197</v>
      </c>
      <c r="D9" s="6" t="s">
        <v>198</v>
      </c>
      <c r="E9" s="6" t="s">
        <v>199</v>
      </c>
    </row>
    <row r="10" customFormat="false" ht="39.75" hidden="false" customHeight="true" outlineLevel="0" collapsed="false">
      <c r="A10" s="5" t="s">
        <v>200</v>
      </c>
      <c r="B10" s="5" t="s">
        <v>201</v>
      </c>
      <c r="C10" s="5" t="s">
        <v>202</v>
      </c>
      <c r="D10" s="5" t="s">
        <v>203</v>
      </c>
      <c r="E10" s="5" t="s">
        <v>204</v>
      </c>
    </row>
    <row r="11" customFormat="false" ht="39.75" hidden="false" customHeight="true" outlineLevel="0" collapsed="false">
      <c r="A11" s="6" t="s">
        <v>112</v>
      </c>
      <c r="B11" s="6" t="s">
        <v>205</v>
      </c>
      <c r="C11" s="6" t="s">
        <v>206</v>
      </c>
      <c r="D11" s="6" t="s">
        <v>207</v>
      </c>
      <c r="E11" s="6" t="s">
        <v>208</v>
      </c>
    </row>
    <row r="12" customFormat="false" ht="39.75" hidden="false" customHeight="true" outlineLevel="0" collapsed="false">
      <c r="A12" s="5" t="s">
        <v>118</v>
      </c>
      <c r="B12" s="5" t="s">
        <v>209</v>
      </c>
      <c r="C12" s="5" t="s">
        <v>210</v>
      </c>
      <c r="D12" s="5" t="s">
        <v>211</v>
      </c>
      <c r="E12" s="5" t="s">
        <v>212</v>
      </c>
    </row>
    <row r="13" customFormat="false" ht="39.75" hidden="false" customHeight="true" outlineLevel="0" collapsed="false">
      <c r="A13" s="6" t="s">
        <v>123</v>
      </c>
      <c r="B13" s="6" t="s">
        <v>213</v>
      </c>
      <c r="C13" s="6" t="s">
        <v>214</v>
      </c>
      <c r="D13" s="6" t="s">
        <v>215</v>
      </c>
      <c r="E13" s="6" t="s">
        <v>216</v>
      </c>
    </row>
    <row r="14" customFormat="false" ht="39.75" hidden="false" customHeight="true" outlineLevel="0" collapsed="false">
      <c r="A14" s="5" t="s">
        <v>128</v>
      </c>
      <c r="B14" s="5" t="s">
        <v>217</v>
      </c>
      <c r="C14" s="5" t="s">
        <v>218</v>
      </c>
      <c r="D14" s="5" t="s">
        <v>219</v>
      </c>
      <c r="E14" s="5" t="s">
        <v>220</v>
      </c>
    </row>
    <row r="15" customFormat="false" ht="39.75" hidden="false" customHeight="true" outlineLevel="0" collapsed="false">
      <c r="A15" s="6" t="s">
        <v>221</v>
      </c>
      <c r="B15" s="6" t="s">
        <v>222</v>
      </c>
      <c r="C15" s="6" t="s">
        <v>223</v>
      </c>
      <c r="D15" s="6" t="s">
        <v>224</v>
      </c>
      <c r="E15" s="6" t="s">
        <v>225</v>
      </c>
    </row>
    <row r="16" customFormat="false" ht="39.75" hidden="false" customHeight="true" outlineLevel="0" collapsed="false">
      <c r="A16" s="5" t="s">
        <v>226</v>
      </c>
      <c r="B16" s="5" t="s">
        <v>227</v>
      </c>
      <c r="C16" s="5" t="s">
        <v>228</v>
      </c>
      <c r="D16" s="5" t="s">
        <v>229</v>
      </c>
      <c r="E16" s="5" t="s">
        <v>230</v>
      </c>
    </row>
    <row r="17" customFormat="false" ht="39.75" hidden="false" customHeight="true" outlineLevel="0" collapsed="false">
      <c r="A17" s="6" t="s">
        <v>148</v>
      </c>
      <c r="B17" s="6" t="s">
        <v>231</v>
      </c>
      <c r="C17" s="6" t="s">
        <v>232</v>
      </c>
      <c r="D17" s="6" t="s">
        <v>233</v>
      </c>
      <c r="E17" s="6" t="s">
        <v>234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235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237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238</v>
      </c>
      <c r="B5" s="4" t="s">
        <v>239</v>
      </c>
      <c r="C5" s="4" t="s">
        <v>240</v>
      </c>
      <c r="D5" s="4" t="s">
        <v>241</v>
      </c>
    </row>
    <row r="6" customFormat="false" ht="27.75" hidden="false" customHeight="true" outlineLevel="0" collapsed="false">
      <c r="A6" s="5" t="s">
        <v>242</v>
      </c>
      <c r="B6" s="5" t="s">
        <v>243</v>
      </c>
      <c r="C6" s="5" t="s">
        <v>244</v>
      </c>
      <c r="D6" s="5" t="s">
        <v>245</v>
      </c>
    </row>
    <row r="7" customFormat="false" ht="27.75" hidden="false" customHeight="true" outlineLevel="0" collapsed="false">
      <c r="A7" s="6" t="s">
        <v>242</v>
      </c>
      <c r="B7" s="6" t="s">
        <v>246</v>
      </c>
      <c r="C7" s="6" t="s">
        <v>244</v>
      </c>
      <c r="D7" s="6" t="s">
        <v>247</v>
      </c>
    </row>
    <row r="8" customFormat="false" ht="27.75" hidden="false" customHeight="true" outlineLevel="0" collapsed="false">
      <c r="A8" s="5" t="s">
        <v>242</v>
      </c>
      <c r="B8" s="5" t="s">
        <v>248</v>
      </c>
      <c r="C8" s="5" t="s">
        <v>244</v>
      </c>
      <c r="D8" s="5" t="s">
        <v>247</v>
      </c>
    </row>
    <row r="9" customFormat="false" ht="27.75" hidden="false" customHeight="true" outlineLevel="0" collapsed="false">
      <c r="A9" s="6" t="s">
        <v>242</v>
      </c>
      <c r="B9" s="6" t="s">
        <v>249</v>
      </c>
      <c r="C9" s="6" t="s">
        <v>244</v>
      </c>
      <c r="D9" s="6" t="s">
        <v>247</v>
      </c>
    </row>
    <row r="10" customFormat="false" ht="27.75" hidden="false" customHeight="true" outlineLevel="0" collapsed="false">
      <c r="A10" s="5" t="s">
        <v>242</v>
      </c>
      <c r="B10" s="5" t="s">
        <v>250</v>
      </c>
      <c r="C10" s="5" t="s">
        <v>251</v>
      </c>
      <c r="D10" s="5" t="s">
        <v>252</v>
      </c>
    </row>
    <row r="11" customFormat="false" ht="27.75" hidden="false" customHeight="true" outlineLevel="0" collapsed="false">
      <c r="A11" s="6" t="s">
        <v>242</v>
      </c>
      <c r="B11" s="6" t="s">
        <v>253</v>
      </c>
      <c r="C11" s="6" t="s">
        <v>254</v>
      </c>
      <c r="D11" s="6" t="s">
        <v>247</v>
      </c>
    </row>
    <row r="12" customFormat="false" ht="27.75" hidden="false" customHeight="true" outlineLevel="0" collapsed="false">
      <c r="A12" s="5" t="s">
        <v>255</v>
      </c>
      <c r="B12" s="5" t="s">
        <v>256</v>
      </c>
      <c r="C12" s="5" t="s">
        <v>244</v>
      </c>
      <c r="D12" s="5" t="s">
        <v>247</v>
      </c>
    </row>
    <row r="13" customFormat="false" ht="27.75" hidden="false" customHeight="true" outlineLevel="0" collapsed="false">
      <c r="A13" s="6" t="s">
        <v>255</v>
      </c>
      <c r="B13" s="6" t="s">
        <v>257</v>
      </c>
      <c r="C13" s="6" t="s">
        <v>244</v>
      </c>
      <c r="D13" s="6" t="s">
        <v>247</v>
      </c>
    </row>
    <row r="14" customFormat="false" ht="27.75" hidden="false" customHeight="true" outlineLevel="0" collapsed="false">
      <c r="A14" s="5" t="s">
        <v>255</v>
      </c>
      <c r="B14" s="5" t="s">
        <v>258</v>
      </c>
      <c r="C14" s="5" t="s">
        <v>244</v>
      </c>
      <c r="D14" s="5" t="s">
        <v>247</v>
      </c>
    </row>
    <row r="15" customFormat="false" ht="27.75" hidden="false" customHeight="true" outlineLevel="0" collapsed="false">
      <c r="A15" s="6" t="s">
        <v>255</v>
      </c>
      <c r="B15" s="6" t="s">
        <v>259</v>
      </c>
      <c r="C15" s="6" t="s">
        <v>260</v>
      </c>
      <c r="D15" s="6" t="s">
        <v>261</v>
      </c>
    </row>
    <row r="16" customFormat="false" ht="27.75" hidden="false" customHeight="true" outlineLevel="0" collapsed="false">
      <c r="A16" s="5" t="s">
        <v>255</v>
      </c>
      <c r="B16" s="5" t="s">
        <v>262</v>
      </c>
      <c r="C16" s="5" t="s">
        <v>254</v>
      </c>
      <c r="D16" s="5" t="s">
        <v>247</v>
      </c>
    </row>
    <row r="17" customFormat="false" ht="27.75" hidden="false" customHeight="true" outlineLevel="0" collapsed="false">
      <c r="A17" s="6" t="s">
        <v>255</v>
      </c>
      <c r="B17" s="6" t="s">
        <v>263</v>
      </c>
      <c r="C17" s="6" t="s">
        <v>264</v>
      </c>
      <c r="D17" s="6" t="s">
        <v>265</v>
      </c>
    </row>
    <row r="18" customFormat="false" ht="27.75" hidden="false" customHeight="true" outlineLevel="0" collapsed="false">
      <c r="A18" s="5" t="s">
        <v>95</v>
      </c>
      <c r="B18" s="5" t="s">
        <v>266</v>
      </c>
      <c r="C18" s="5" t="s">
        <v>244</v>
      </c>
      <c r="D18" s="5" t="s">
        <v>247</v>
      </c>
    </row>
    <row r="19" customFormat="false" ht="27.75" hidden="false" customHeight="true" outlineLevel="0" collapsed="false">
      <c r="A19" s="6" t="s">
        <v>95</v>
      </c>
      <c r="B19" s="6" t="s">
        <v>267</v>
      </c>
      <c r="C19" s="6" t="s">
        <v>244</v>
      </c>
      <c r="D19" s="6" t="s">
        <v>247</v>
      </c>
    </row>
    <row r="20" customFormat="false" ht="27.75" hidden="false" customHeight="true" outlineLevel="0" collapsed="false">
      <c r="A20" s="5" t="s">
        <v>95</v>
      </c>
      <c r="B20" s="5" t="s">
        <v>268</v>
      </c>
      <c r="C20" s="5" t="s">
        <v>244</v>
      </c>
      <c r="D20" s="5" t="s">
        <v>247</v>
      </c>
    </row>
    <row r="21" customFormat="false" ht="27.75" hidden="false" customHeight="true" outlineLevel="0" collapsed="false">
      <c r="A21" s="6" t="s">
        <v>95</v>
      </c>
      <c r="B21" s="6" t="s">
        <v>269</v>
      </c>
      <c r="C21" s="6" t="s">
        <v>254</v>
      </c>
      <c r="D21" s="6" t="s">
        <v>247</v>
      </c>
    </row>
    <row r="22" customFormat="false" ht="27.75" hidden="false" customHeight="true" outlineLevel="0" collapsed="false">
      <c r="A22" s="5" t="s">
        <v>95</v>
      </c>
      <c r="B22" s="5" t="s">
        <v>270</v>
      </c>
      <c r="C22" s="5" t="s">
        <v>271</v>
      </c>
      <c r="D22" s="5" t="s">
        <v>272</v>
      </c>
    </row>
    <row r="23" customFormat="false" ht="27.75" hidden="false" customHeight="true" outlineLevel="0" collapsed="false">
      <c r="A23" s="6" t="s">
        <v>112</v>
      </c>
      <c r="B23" s="6" t="s">
        <v>273</v>
      </c>
      <c r="C23" s="6" t="s">
        <v>254</v>
      </c>
      <c r="D23" s="6" t="s">
        <v>247</v>
      </c>
    </row>
    <row r="24" customFormat="false" ht="27.75" hidden="false" customHeight="true" outlineLevel="0" collapsed="false">
      <c r="A24" s="5" t="s">
        <v>112</v>
      </c>
      <c r="B24" s="5" t="s">
        <v>274</v>
      </c>
      <c r="C24" s="5" t="s">
        <v>254</v>
      </c>
      <c r="D24" s="5" t="s">
        <v>275</v>
      </c>
    </row>
    <row r="25" customFormat="false" ht="27.75" hidden="false" customHeight="true" outlineLevel="0" collapsed="false">
      <c r="A25" s="6" t="s">
        <v>118</v>
      </c>
      <c r="B25" s="6" t="s">
        <v>276</v>
      </c>
      <c r="C25" s="6" t="s">
        <v>271</v>
      </c>
      <c r="D25" s="6" t="s">
        <v>277</v>
      </c>
    </row>
    <row r="26" customFormat="false" ht="27.75" hidden="false" customHeight="true" outlineLevel="0" collapsed="false">
      <c r="A26" s="5" t="s">
        <v>123</v>
      </c>
      <c r="B26" s="5" t="s">
        <v>278</v>
      </c>
      <c r="C26" s="5" t="s">
        <v>279</v>
      </c>
      <c r="D26" s="5" t="s">
        <v>280</v>
      </c>
    </row>
    <row r="27" customFormat="false" ht="27.75" hidden="false" customHeight="true" outlineLevel="0" collapsed="false">
      <c r="A27" s="6" t="s">
        <v>128</v>
      </c>
      <c r="B27" s="6" t="s">
        <v>281</v>
      </c>
      <c r="C27" s="6" t="s">
        <v>244</v>
      </c>
      <c r="D27" s="6" t="s">
        <v>282</v>
      </c>
    </row>
    <row r="28" customFormat="false" ht="27.75" hidden="false" customHeight="true" outlineLevel="0" collapsed="false">
      <c r="A28" s="5" t="s">
        <v>128</v>
      </c>
      <c r="B28" s="5" t="s">
        <v>283</v>
      </c>
      <c r="C28" s="5" t="s">
        <v>244</v>
      </c>
      <c r="D28" s="5" t="s">
        <v>247</v>
      </c>
    </row>
    <row r="29" customFormat="false" ht="27.75" hidden="false" customHeight="true" outlineLevel="0" collapsed="false">
      <c r="A29" s="6" t="s">
        <v>221</v>
      </c>
      <c r="B29" s="6" t="s">
        <v>284</v>
      </c>
      <c r="C29" s="6" t="s">
        <v>279</v>
      </c>
      <c r="D29" s="6" t="s">
        <v>285</v>
      </c>
    </row>
    <row r="30" customFormat="false" ht="27.75" hidden="false" customHeight="true" outlineLevel="0" collapsed="false">
      <c r="A30" s="5" t="s">
        <v>286</v>
      </c>
      <c r="B30" s="5" t="s">
        <v>287</v>
      </c>
      <c r="C30" s="5" t="s">
        <v>288</v>
      </c>
      <c r="D30" s="5" t="s">
        <v>252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D3B"/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289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290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291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292</v>
      </c>
      <c r="B5" s="4" t="s">
        <v>293</v>
      </c>
      <c r="C5" s="4" t="s">
        <v>294</v>
      </c>
    </row>
    <row r="6" customFormat="false" ht="31.5" hidden="false" customHeight="true" outlineLevel="0" collapsed="false">
      <c r="A6" s="5" t="s">
        <v>295</v>
      </c>
      <c r="B6" s="5" t="s">
        <v>296</v>
      </c>
      <c r="C6" s="5" t="s">
        <v>297</v>
      </c>
    </row>
    <row r="7" customFormat="false" ht="31.5" hidden="false" customHeight="true" outlineLevel="0" collapsed="false">
      <c r="A7" s="6" t="s">
        <v>298</v>
      </c>
      <c r="B7" s="6" t="s">
        <v>299</v>
      </c>
      <c r="C7" s="6" t="s">
        <v>300</v>
      </c>
    </row>
    <row r="8" customFormat="false" ht="31.5" hidden="false" customHeight="true" outlineLevel="0" collapsed="false">
      <c r="A8" s="5" t="s">
        <v>301</v>
      </c>
      <c r="B8" s="5" t="s">
        <v>302</v>
      </c>
      <c r="C8" s="5" t="s">
        <v>303</v>
      </c>
    </row>
    <row r="9" customFormat="false" ht="31.5" hidden="false" customHeight="true" outlineLevel="0" collapsed="false">
      <c r="A9" s="6" t="s">
        <v>304</v>
      </c>
      <c r="B9" s="6" t="s">
        <v>305</v>
      </c>
      <c r="C9" s="6" t="s">
        <v>306</v>
      </c>
    </row>
    <row r="10" customFormat="false" ht="31.5" hidden="false" customHeight="true" outlineLevel="0" collapsed="false">
      <c r="A10" s="5" t="s">
        <v>307</v>
      </c>
      <c r="B10" s="5" t="s">
        <v>308</v>
      </c>
      <c r="C10" s="5" t="s">
        <v>309</v>
      </c>
    </row>
    <row r="11" customFormat="false" ht="31.5" hidden="false" customHeight="true" outlineLevel="0" collapsed="false">
      <c r="A11" s="6" t="s">
        <v>310</v>
      </c>
      <c r="B11" s="6" t="s">
        <v>311</v>
      </c>
      <c r="C11" s="6" t="s">
        <v>312</v>
      </c>
    </row>
    <row r="12" customFormat="false" ht="31.5" hidden="false" customHeight="true" outlineLevel="0" collapsed="false">
      <c r="A12" s="5" t="s">
        <v>313</v>
      </c>
      <c r="B12" s="5" t="s">
        <v>314</v>
      </c>
      <c r="C12" s="5" t="s">
        <v>315</v>
      </c>
    </row>
    <row r="13" customFormat="false" ht="31.5" hidden="false" customHeight="true" outlineLevel="0" collapsed="false">
      <c r="A13" s="6" t="s">
        <v>316</v>
      </c>
      <c r="B13" s="6" t="s">
        <v>317</v>
      </c>
      <c r="C13" s="6" t="s">
        <v>318</v>
      </c>
    </row>
    <row r="15" customFormat="false" ht="39.75" hidden="false" customHeight="true" outlineLevel="0" collapsed="false">
      <c r="A15" s="14" t="s">
        <v>319</v>
      </c>
      <c r="B15" s="14"/>
      <c r="C15" s="14"/>
    </row>
    <row r="16" customFormat="false" ht="15" hidden="false" customHeight="false" outlineLevel="0" collapsed="false">
      <c r="A16" s="14"/>
      <c r="B16" s="14"/>
      <c r="C16" s="14"/>
    </row>
    <row r="17" customFormat="false" ht="15" hidden="false" customHeight="false" outlineLevel="0" collapsed="false">
      <c r="A17" s="14"/>
      <c r="B17" s="14"/>
      <c r="C17" s="14"/>
    </row>
  </sheetData>
  <mergeCells count="4">
    <mergeCell ref="A1:H1"/>
    <mergeCell ref="A2:H2"/>
    <mergeCell ref="A3:H3"/>
    <mergeCell ref="A15:C17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F00"/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2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320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321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322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40</v>
      </c>
      <c r="B5" s="4" t="s">
        <v>323</v>
      </c>
      <c r="C5" s="4" t="s">
        <v>324</v>
      </c>
      <c r="D5" s="4" t="s">
        <v>325</v>
      </c>
      <c r="E5" s="4" t="s">
        <v>326</v>
      </c>
      <c r="F5" s="4" t="s">
        <v>327</v>
      </c>
    </row>
    <row r="6" customFormat="false" ht="39.75" hidden="false" customHeight="true" outlineLevel="0" collapsed="false">
      <c r="A6" s="5" t="s">
        <v>48</v>
      </c>
      <c r="B6" s="5" t="s">
        <v>328</v>
      </c>
      <c r="C6" s="5" t="s">
        <v>329</v>
      </c>
      <c r="D6" s="5" t="s">
        <v>330</v>
      </c>
      <c r="E6" s="5" t="s">
        <v>331</v>
      </c>
      <c r="F6" s="5" t="s">
        <v>332</v>
      </c>
    </row>
    <row r="7" customFormat="false" ht="39.75" hidden="false" customHeight="true" outlineLevel="0" collapsed="false">
      <c r="A7" s="6" t="s">
        <v>55</v>
      </c>
      <c r="B7" s="6" t="s">
        <v>328</v>
      </c>
      <c r="C7" s="6" t="s">
        <v>333</v>
      </c>
      <c r="D7" s="6" t="s">
        <v>334</v>
      </c>
      <c r="E7" s="6" t="s">
        <v>335</v>
      </c>
      <c r="F7" s="6" t="s">
        <v>336</v>
      </c>
    </row>
    <row r="8" customFormat="false" ht="39.75" hidden="false" customHeight="true" outlineLevel="0" collapsed="false">
      <c r="A8" s="5" t="s">
        <v>60</v>
      </c>
      <c r="B8" s="5" t="s">
        <v>337</v>
      </c>
      <c r="C8" s="5" t="s">
        <v>338</v>
      </c>
      <c r="D8" s="5" t="s">
        <v>339</v>
      </c>
      <c r="E8" s="5" t="s">
        <v>335</v>
      </c>
      <c r="F8" s="5" t="s">
        <v>340</v>
      </c>
    </row>
    <row r="9" customFormat="false" ht="39.75" hidden="false" customHeight="true" outlineLevel="0" collapsed="false">
      <c r="A9" s="6" t="s">
        <v>78</v>
      </c>
      <c r="B9" s="6" t="s">
        <v>341</v>
      </c>
      <c r="C9" s="6" t="s">
        <v>342</v>
      </c>
      <c r="D9" s="6" t="s">
        <v>343</v>
      </c>
      <c r="E9" s="6" t="s">
        <v>335</v>
      </c>
      <c r="F9" s="6" t="s">
        <v>344</v>
      </c>
    </row>
    <row r="10" customFormat="false" ht="39.75" hidden="false" customHeight="true" outlineLevel="0" collapsed="false">
      <c r="A10" s="5" t="s">
        <v>95</v>
      </c>
      <c r="B10" s="5" t="s">
        <v>345</v>
      </c>
      <c r="C10" s="5" t="s">
        <v>346</v>
      </c>
      <c r="D10" s="5" t="s">
        <v>347</v>
      </c>
      <c r="E10" s="5" t="s">
        <v>335</v>
      </c>
      <c r="F10" s="5" t="s">
        <v>348</v>
      </c>
    </row>
    <row r="11" customFormat="false" ht="39.75" hidden="false" customHeight="true" outlineLevel="0" collapsed="false">
      <c r="A11" s="6" t="s">
        <v>112</v>
      </c>
      <c r="B11" s="6" t="s">
        <v>349</v>
      </c>
      <c r="C11" s="6" t="s">
        <v>350</v>
      </c>
      <c r="D11" s="6" t="s">
        <v>351</v>
      </c>
      <c r="E11" s="6" t="s">
        <v>350</v>
      </c>
      <c r="F11" s="6" t="s">
        <v>352</v>
      </c>
    </row>
    <row r="12" customFormat="false" ht="39.75" hidden="false" customHeight="true" outlineLevel="0" collapsed="false">
      <c r="A12" s="5" t="s">
        <v>118</v>
      </c>
      <c r="B12" s="5" t="s">
        <v>349</v>
      </c>
      <c r="C12" s="5" t="s">
        <v>350</v>
      </c>
      <c r="D12" s="5" t="s">
        <v>353</v>
      </c>
      <c r="E12" s="5" t="s">
        <v>350</v>
      </c>
      <c r="F12" s="5" t="s">
        <v>354</v>
      </c>
    </row>
    <row r="13" customFormat="false" ht="39.75" hidden="false" customHeight="true" outlineLevel="0" collapsed="false">
      <c r="A13" s="6" t="s">
        <v>123</v>
      </c>
      <c r="B13" s="6" t="s">
        <v>349</v>
      </c>
      <c r="C13" s="6" t="s">
        <v>350</v>
      </c>
      <c r="D13" s="6" t="s">
        <v>355</v>
      </c>
      <c r="E13" s="6" t="s">
        <v>350</v>
      </c>
      <c r="F13" s="6" t="s">
        <v>354</v>
      </c>
    </row>
    <row r="14" customFormat="false" ht="39.75" hidden="false" customHeight="true" outlineLevel="0" collapsed="false">
      <c r="A14" s="5" t="s">
        <v>356</v>
      </c>
      <c r="B14" s="5" t="s">
        <v>349</v>
      </c>
      <c r="C14" s="5" t="s">
        <v>350</v>
      </c>
      <c r="D14" s="5" t="s">
        <v>89</v>
      </c>
      <c r="E14" s="5" t="s">
        <v>350</v>
      </c>
      <c r="F14" s="5" t="s">
        <v>156</v>
      </c>
    </row>
    <row r="16" customFormat="false" ht="15" hidden="false" customHeight="true" outlineLevel="0" collapsed="false">
      <c r="A16" s="12" t="s">
        <v>357</v>
      </c>
      <c r="B16" s="12"/>
      <c r="C16" s="12"/>
      <c r="D16" s="12"/>
      <c r="E16" s="12"/>
      <c r="F16" s="12"/>
    </row>
    <row r="17" customFormat="false" ht="27.75" hidden="false" customHeight="true" outlineLevel="0" collapsed="false">
      <c r="A17" s="6" t="s">
        <v>358</v>
      </c>
      <c r="B17" s="6" t="s">
        <v>359</v>
      </c>
      <c r="C17" s="6"/>
      <c r="D17" s="6"/>
      <c r="E17" s="6"/>
      <c r="F17" s="6"/>
    </row>
    <row r="18" customFormat="false" ht="27.75" hidden="false" customHeight="true" outlineLevel="0" collapsed="false">
      <c r="A18" s="5" t="s">
        <v>360</v>
      </c>
      <c r="B18" s="5" t="s">
        <v>361</v>
      </c>
      <c r="C18" s="5"/>
      <c r="D18" s="5"/>
      <c r="E18" s="5"/>
      <c r="F18" s="5"/>
    </row>
    <row r="19" customFormat="false" ht="27.75" hidden="false" customHeight="true" outlineLevel="0" collapsed="false">
      <c r="A19" s="6" t="s">
        <v>362</v>
      </c>
      <c r="B19" s="6" t="s">
        <v>363</v>
      </c>
      <c r="C19" s="6"/>
      <c r="D19" s="6"/>
      <c r="E19" s="6"/>
      <c r="F19" s="6"/>
    </row>
    <row r="20" customFormat="false" ht="27.75" hidden="false" customHeight="true" outlineLevel="0" collapsed="false">
      <c r="A20" s="5" t="s">
        <v>364</v>
      </c>
      <c r="B20" s="5" t="s">
        <v>365</v>
      </c>
      <c r="C20" s="5"/>
      <c r="D20" s="5"/>
      <c r="E20" s="5"/>
      <c r="F20" s="5"/>
    </row>
    <row r="21" customFormat="false" ht="27.75" hidden="false" customHeight="true" outlineLevel="0" collapsed="false">
      <c r="A21" s="6" t="s">
        <v>366</v>
      </c>
      <c r="B21" s="6" t="s">
        <v>367</v>
      </c>
      <c r="C21" s="6"/>
      <c r="D21" s="6"/>
      <c r="E21" s="6"/>
      <c r="F21" s="6"/>
    </row>
    <row r="22" customFormat="false" ht="27.75" hidden="false" customHeight="true" outlineLevel="0" collapsed="false">
      <c r="A22" s="5" t="s">
        <v>368</v>
      </c>
      <c r="B22" s="5" t="s">
        <v>369</v>
      </c>
      <c r="C22" s="5"/>
      <c r="D22" s="5"/>
      <c r="E22" s="5"/>
      <c r="F22" s="5"/>
    </row>
    <row r="23" customFormat="false" ht="27.75" hidden="false" customHeight="true" outlineLevel="0" collapsed="false">
      <c r="A23" s="6" t="s">
        <v>370</v>
      </c>
      <c r="B23" s="6" t="s">
        <v>371</v>
      </c>
      <c r="C23" s="6"/>
      <c r="D23" s="6"/>
      <c r="E23" s="6"/>
      <c r="F23" s="6"/>
    </row>
  </sheetData>
  <mergeCells count="11">
    <mergeCell ref="A1:H1"/>
    <mergeCell ref="A2:H2"/>
    <mergeCell ref="A3:H3"/>
    <mergeCell ref="A16:F16"/>
    <mergeCell ref="B17:F17"/>
    <mergeCell ref="B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186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372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373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377</v>
      </c>
      <c r="B6" s="5" t="s">
        <v>378</v>
      </c>
      <c r="C6" s="5" t="s">
        <v>379</v>
      </c>
    </row>
    <row r="7" customFormat="false" ht="33.75" hidden="false" customHeight="true" outlineLevel="0" collapsed="false">
      <c r="A7" s="6" t="s">
        <v>380</v>
      </c>
      <c r="B7" s="6" t="s">
        <v>381</v>
      </c>
      <c r="C7" s="6" t="s">
        <v>382</v>
      </c>
    </row>
    <row r="8" customFormat="false" ht="33.75" hidden="false" customHeight="true" outlineLevel="0" collapsed="false">
      <c r="A8" s="5" t="s">
        <v>383</v>
      </c>
      <c r="B8" s="5" t="s">
        <v>384</v>
      </c>
      <c r="C8" s="5" t="s">
        <v>385</v>
      </c>
    </row>
    <row r="9" customFormat="false" ht="33.75" hidden="false" customHeight="true" outlineLevel="0" collapsed="false">
      <c r="A9" s="6" t="s">
        <v>386</v>
      </c>
      <c r="B9" s="6" t="s">
        <v>387</v>
      </c>
      <c r="C9" s="6" t="s">
        <v>388</v>
      </c>
    </row>
    <row r="10" customFormat="false" ht="33.75" hidden="false" customHeight="true" outlineLevel="0" collapsed="false">
      <c r="A10" s="5" t="s">
        <v>389</v>
      </c>
      <c r="B10" s="5" t="s">
        <v>390</v>
      </c>
      <c r="C10" s="5" t="s">
        <v>391</v>
      </c>
    </row>
    <row r="11" customFormat="false" ht="33.75" hidden="false" customHeight="true" outlineLevel="0" collapsed="false">
      <c r="A11" s="6" t="s">
        <v>392</v>
      </c>
      <c r="B11" s="6" t="s">
        <v>393</v>
      </c>
      <c r="C11" s="6" t="s">
        <v>394</v>
      </c>
    </row>
    <row r="12" customFormat="false" ht="33.75" hidden="false" customHeight="true" outlineLevel="0" collapsed="false">
      <c r="A12" s="5" t="s">
        <v>395</v>
      </c>
      <c r="B12" s="5" t="s">
        <v>396</v>
      </c>
      <c r="C12" s="5" t="s">
        <v>397</v>
      </c>
    </row>
    <row r="13" customFormat="false" ht="33.75" hidden="false" customHeight="true" outlineLevel="0" collapsed="false">
      <c r="A13" s="6" t="s">
        <v>398</v>
      </c>
      <c r="B13" s="6" t="s">
        <v>399</v>
      </c>
      <c r="C13" s="6" t="s">
        <v>400</v>
      </c>
    </row>
    <row r="14" customFormat="false" ht="33.75" hidden="false" customHeight="true" outlineLevel="0" collapsed="false">
      <c r="A14" s="5" t="s">
        <v>401</v>
      </c>
      <c r="B14" s="5" t="s">
        <v>402</v>
      </c>
      <c r="C14" s="5" t="s">
        <v>403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404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405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406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407</v>
      </c>
      <c r="B6" s="5" t="s">
        <v>408</v>
      </c>
      <c r="C6" s="5" t="s">
        <v>409</v>
      </c>
    </row>
    <row r="7" customFormat="false" ht="33.75" hidden="false" customHeight="true" outlineLevel="0" collapsed="false">
      <c r="A7" s="6" t="s">
        <v>410</v>
      </c>
      <c r="B7" s="6" t="s">
        <v>411</v>
      </c>
      <c r="C7" s="6" t="s">
        <v>412</v>
      </c>
    </row>
    <row r="8" customFormat="false" ht="33.75" hidden="false" customHeight="true" outlineLevel="0" collapsed="false">
      <c r="A8" s="5" t="s">
        <v>413</v>
      </c>
      <c r="B8" s="5" t="s">
        <v>414</v>
      </c>
      <c r="C8" s="5" t="s">
        <v>415</v>
      </c>
    </row>
    <row r="9" customFormat="false" ht="33.75" hidden="false" customHeight="true" outlineLevel="0" collapsed="false">
      <c r="A9" s="6" t="s">
        <v>416</v>
      </c>
      <c r="B9" s="6" t="s">
        <v>417</v>
      </c>
      <c r="C9" s="6" t="s">
        <v>418</v>
      </c>
    </row>
    <row r="10" customFormat="false" ht="33.75" hidden="false" customHeight="true" outlineLevel="0" collapsed="false">
      <c r="A10" s="5" t="s">
        <v>419</v>
      </c>
      <c r="B10" s="5" t="s">
        <v>420</v>
      </c>
      <c r="C10" s="5" t="s">
        <v>421</v>
      </c>
    </row>
    <row r="11" customFormat="false" ht="33.75" hidden="false" customHeight="true" outlineLevel="0" collapsed="false">
      <c r="A11" s="6" t="s">
        <v>84</v>
      </c>
      <c r="B11" s="6" t="s">
        <v>422</v>
      </c>
      <c r="C11" s="6" t="s">
        <v>423</v>
      </c>
    </row>
    <row r="12" customFormat="false" ht="33.75" hidden="false" customHeight="true" outlineLevel="0" collapsed="false">
      <c r="A12" s="5" t="s">
        <v>424</v>
      </c>
      <c r="B12" s="5" t="s">
        <v>425</v>
      </c>
      <c r="C12" s="5" t="s">
        <v>426</v>
      </c>
    </row>
    <row r="13" customFormat="false" ht="33.75" hidden="false" customHeight="true" outlineLevel="0" collapsed="false">
      <c r="A13" s="6" t="s">
        <v>427</v>
      </c>
      <c r="B13" s="6" t="s">
        <v>428</v>
      </c>
      <c r="C13" s="6" t="s">
        <v>429</v>
      </c>
    </row>
    <row r="14" customFormat="false" ht="33.75" hidden="false" customHeight="true" outlineLevel="0" collapsed="false">
      <c r="A14" s="5" t="s">
        <v>398</v>
      </c>
      <c r="B14" s="5" t="s">
        <v>430</v>
      </c>
      <c r="C14" s="5" t="s">
        <v>400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6F3D"/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431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432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433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434</v>
      </c>
      <c r="B6" s="5" t="s">
        <v>435</v>
      </c>
      <c r="C6" s="5" t="s">
        <v>436</v>
      </c>
    </row>
    <row r="7" customFormat="false" ht="33.75" hidden="false" customHeight="true" outlineLevel="0" collapsed="false">
      <c r="A7" s="6" t="s">
        <v>437</v>
      </c>
      <c r="B7" s="6" t="s">
        <v>438</v>
      </c>
      <c r="C7" s="6" t="s">
        <v>439</v>
      </c>
    </row>
    <row r="8" customFormat="false" ht="33.75" hidden="false" customHeight="true" outlineLevel="0" collapsed="false">
      <c r="A8" s="5" t="s">
        <v>440</v>
      </c>
      <c r="B8" s="5" t="s">
        <v>441</v>
      </c>
      <c r="C8" s="5" t="s">
        <v>442</v>
      </c>
    </row>
    <row r="9" customFormat="false" ht="33.75" hidden="false" customHeight="true" outlineLevel="0" collapsed="false">
      <c r="A9" s="6" t="s">
        <v>443</v>
      </c>
      <c r="B9" s="6" t="s">
        <v>444</v>
      </c>
      <c r="C9" s="6" t="s">
        <v>445</v>
      </c>
    </row>
    <row r="10" customFormat="false" ht="33.75" hidden="false" customHeight="true" outlineLevel="0" collapsed="false">
      <c r="A10" s="5" t="s">
        <v>446</v>
      </c>
      <c r="B10" s="5" t="s">
        <v>447</v>
      </c>
      <c r="C10" s="5" t="s">
        <v>448</v>
      </c>
    </row>
    <row r="11" customFormat="false" ht="33.75" hidden="false" customHeight="true" outlineLevel="0" collapsed="false">
      <c r="A11" s="6" t="s">
        <v>449</v>
      </c>
      <c r="B11" s="6" t="s">
        <v>450</v>
      </c>
      <c r="C11" s="6" t="s">
        <v>451</v>
      </c>
    </row>
    <row r="12" customFormat="false" ht="33.75" hidden="false" customHeight="true" outlineLevel="0" collapsed="false">
      <c r="A12" s="5" t="s">
        <v>389</v>
      </c>
      <c r="B12" s="5" t="s">
        <v>452</v>
      </c>
      <c r="C12" s="5" t="s">
        <v>453</v>
      </c>
    </row>
    <row r="13" customFormat="false" ht="33.75" hidden="false" customHeight="true" outlineLevel="0" collapsed="false">
      <c r="A13" s="6" t="s">
        <v>454</v>
      </c>
      <c r="B13" s="6" t="s">
        <v>455</v>
      </c>
      <c r="C13" s="6" t="s">
        <v>456</v>
      </c>
    </row>
    <row r="14" customFormat="false" ht="33.75" hidden="false" customHeight="true" outlineLevel="0" collapsed="false">
      <c r="A14" s="5" t="s">
        <v>457</v>
      </c>
      <c r="B14" s="5" t="s">
        <v>458</v>
      </c>
      <c r="C14" s="5" t="s">
        <v>459</v>
      </c>
    </row>
    <row r="15" customFormat="false" ht="33.75" hidden="false" customHeight="true" outlineLevel="0" collapsed="false">
      <c r="A15" s="6" t="s">
        <v>398</v>
      </c>
      <c r="B15" s="6" t="s">
        <v>460</v>
      </c>
      <c r="C15" s="6" t="s">
        <v>461</v>
      </c>
    </row>
    <row r="16" customFormat="false" ht="33.75" hidden="false" customHeight="true" outlineLevel="0" collapsed="false">
      <c r="A16" s="5" t="s">
        <v>462</v>
      </c>
      <c r="B16" s="5" t="s">
        <v>463</v>
      </c>
      <c r="C16" s="5" t="s">
        <v>464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465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467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177</v>
      </c>
      <c r="B6" s="5" t="s">
        <v>468</v>
      </c>
      <c r="C6" s="5" t="s">
        <v>469</v>
      </c>
    </row>
    <row r="7" customFormat="false" ht="33.75" hidden="false" customHeight="true" outlineLevel="0" collapsed="false">
      <c r="A7" s="6" t="s">
        <v>470</v>
      </c>
      <c r="B7" s="6" t="s">
        <v>471</v>
      </c>
      <c r="C7" s="6" t="s">
        <v>472</v>
      </c>
    </row>
    <row r="8" customFormat="false" ht="33.75" hidden="false" customHeight="true" outlineLevel="0" collapsed="false">
      <c r="A8" s="5" t="s">
        <v>473</v>
      </c>
      <c r="B8" s="5" t="s">
        <v>474</v>
      </c>
      <c r="C8" s="5" t="s">
        <v>475</v>
      </c>
    </row>
    <row r="9" customFormat="false" ht="33.75" hidden="false" customHeight="true" outlineLevel="0" collapsed="false">
      <c r="A9" s="6" t="s">
        <v>476</v>
      </c>
      <c r="B9" s="6" t="s">
        <v>477</v>
      </c>
      <c r="C9" s="6" t="s">
        <v>478</v>
      </c>
    </row>
    <row r="10" customFormat="false" ht="33.75" hidden="false" customHeight="true" outlineLevel="0" collapsed="false">
      <c r="A10" s="5" t="s">
        <v>479</v>
      </c>
      <c r="B10" s="5" t="s">
        <v>480</v>
      </c>
      <c r="C10" s="5" t="s">
        <v>481</v>
      </c>
    </row>
    <row r="11" customFormat="false" ht="33.75" hidden="false" customHeight="true" outlineLevel="0" collapsed="false">
      <c r="A11" s="6" t="s">
        <v>389</v>
      </c>
      <c r="B11" s="6" t="s">
        <v>482</v>
      </c>
      <c r="C11" s="6" t="s">
        <v>483</v>
      </c>
    </row>
    <row r="12" customFormat="false" ht="33.75" hidden="false" customHeight="true" outlineLevel="0" collapsed="false">
      <c r="A12" s="5" t="s">
        <v>484</v>
      </c>
      <c r="B12" s="5" t="s">
        <v>485</v>
      </c>
      <c r="C12" s="5" t="s">
        <v>486</v>
      </c>
    </row>
    <row r="13" customFormat="false" ht="33.75" hidden="false" customHeight="true" outlineLevel="0" collapsed="false">
      <c r="A13" s="6" t="s">
        <v>398</v>
      </c>
      <c r="B13" s="6" t="s">
        <v>487</v>
      </c>
      <c r="C13" s="6" t="s">
        <v>488</v>
      </c>
    </row>
    <row r="14" customFormat="false" ht="33.75" hidden="false" customHeight="true" outlineLevel="0" collapsed="false">
      <c r="A14" s="5" t="s">
        <v>401</v>
      </c>
      <c r="B14" s="5" t="s">
        <v>489</v>
      </c>
      <c r="C14" s="5" t="s">
        <v>490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491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492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493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494</v>
      </c>
      <c r="B6" s="5" t="s">
        <v>495</v>
      </c>
      <c r="C6" s="5" t="s">
        <v>496</v>
      </c>
    </row>
    <row r="7" customFormat="false" ht="33.75" hidden="false" customHeight="true" outlineLevel="0" collapsed="false">
      <c r="A7" s="6" t="s">
        <v>497</v>
      </c>
      <c r="B7" s="6" t="s">
        <v>498</v>
      </c>
      <c r="C7" s="6" t="s">
        <v>499</v>
      </c>
    </row>
    <row r="8" customFormat="false" ht="33.75" hidden="false" customHeight="true" outlineLevel="0" collapsed="false">
      <c r="A8" s="5" t="s">
        <v>500</v>
      </c>
      <c r="B8" s="5" t="s">
        <v>501</v>
      </c>
      <c r="C8" s="5" t="s">
        <v>502</v>
      </c>
    </row>
    <row r="9" customFormat="false" ht="33.75" hidden="false" customHeight="true" outlineLevel="0" collapsed="false">
      <c r="A9" s="6" t="s">
        <v>503</v>
      </c>
      <c r="B9" s="6" t="s">
        <v>504</v>
      </c>
      <c r="C9" s="6" t="s">
        <v>505</v>
      </c>
    </row>
    <row r="10" customFormat="false" ht="33.75" hidden="false" customHeight="true" outlineLevel="0" collapsed="false">
      <c r="A10" s="5" t="s">
        <v>506</v>
      </c>
      <c r="B10" s="5" t="s">
        <v>507</v>
      </c>
      <c r="C10" s="5" t="s">
        <v>508</v>
      </c>
    </row>
    <row r="11" customFormat="false" ht="33.75" hidden="false" customHeight="true" outlineLevel="0" collapsed="false">
      <c r="A11" s="6" t="s">
        <v>509</v>
      </c>
      <c r="B11" s="6" t="s">
        <v>510</v>
      </c>
      <c r="C11" s="6" t="s">
        <v>511</v>
      </c>
    </row>
    <row r="12" customFormat="false" ht="33.75" hidden="false" customHeight="true" outlineLevel="0" collapsed="false">
      <c r="A12" s="5" t="s">
        <v>512</v>
      </c>
      <c r="B12" s="5" t="s">
        <v>513</v>
      </c>
      <c r="C12" s="5" t="s">
        <v>514</v>
      </c>
    </row>
    <row r="13" customFormat="false" ht="33.75" hidden="false" customHeight="true" outlineLevel="0" collapsed="false">
      <c r="A13" s="6" t="s">
        <v>515</v>
      </c>
      <c r="B13" s="6" t="s">
        <v>516</v>
      </c>
      <c r="C13" s="6" t="s">
        <v>517</v>
      </c>
    </row>
    <row r="14" customFormat="false" ht="33.75" hidden="false" customHeight="true" outlineLevel="0" collapsed="false">
      <c r="A14" s="5" t="s">
        <v>484</v>
      </c>
      <c r="B14" s="5" t="s">
        <v>518</v>
      </c>
      <c r="C14" s="5" t="s">
        <v>519</v>
      </c>
    </row>
    <row r="15" customFormat="false" ht="33.75" hidden="false" customHeight="true" outlineLevel="0" collapsed="false">
      <c r="A15" s="6" t="s">
        <v>401</v>
      </c>
      <c r="B15" s="6" t="s">
        <v>520</v>
      </c>
      <c r="C15" s="6" t="s">
        <v>521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522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523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524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525</v>
      </c>
      <c r="B6" s="5" t="s">
        <v>526</v>
      </c>
      <c r="C6" s="5" t="s">
        <v>527</v>
      </c>
    </row>
    <row r="7" customFormat="false" ht="33.75" hidden="false" customHeight="true" outlineLevel="0" collapsed="false">
      <c r="A7" s="6" t="s">
        <v>528</v>
      </c>
      <c r="B7" s="6" t="s">
        <v>529</v>
      </c>
      <c r="C7" s="6" t="s">
        <v>530</v>
      </c>
    </row>
    <row r="8" customFormat="false" ht="33.75" hidden="false" customHeight="true" outlineLevel="0" collapsed="false">
      <c r="A8" s="5" t="s">
        <v>531</v>
      </c>
      <c r="B8" s="5" t="s">
        <v>283</v>
      </c>
      <c r="C8" s="5" t="s">
        <v>532</v>
      </c>
    </row>
    <row r="9" customFormat="false" ht="33.75" hidden="false" customHeight="true" outlineLevel="0" collapsed="false">
      <c r="A9" s="6" t="s">
        <v>533</v>
      </c>
      <c r="B9" s="6" t="s">
        <v>534</v>
      </c>
      <c r="C9" s="6" t="s">
        <v>535</v>
      </c>
    </row>
    <row r="10" customFormat="false" ht="33.75" hidden="false" customHeight="true" outlineLevel="0" collapsed="false">
      <c r="A10" s="5" t="s">
        <v>536</v>
      </c>
      <c r="B10" s="5" t="s">
        <v>537</v>
      </c>
      <c r="C10" s="5" t="s">
        <v>538</v>
      </c>
    </row>
    <row r="11" customFormat="false" ht="33.75" hidden="false" customHeight="true" outlineLevel="0" collapsed="false">
      <c r="A11" s="6" t="s">
        <v>539</v>
      </c>
      <c r="B11" s="6" t="s">
        <v>540</v>
      </c>
      <c r="C11" s="6" t="s">
        <v>541</v>
      </c>
    </row>
    <row r="12" customFormat="false" ht="33.75" hidden="false" customHeight="true" outlineLevel="0" collapsed="false">
      <c r="A12" s="5" t="s">
        <v>542</v>
      </c>
      <c r="B12" s="5" t="s">
        <v>543</v>
      </c>
      <c r="C12" s="5" t="s">
        <v>544</v>
      </c>
    </row>
    <row r="13" customFormat="false" ht="33.75" hidden="false" customHeight="true" outlineLevel="0" collapsed="false">
      <c r="A13" s="6" t="s">
        <v>389</v>
      </c>
      <c r="B13" s="6" t="s">
        <v>545</v>
      </c>
      <c r="C13" s="6" t="s">
        <v>483</v>
      </c>
    </row>
    <row r="14" customFormat="false" ht="33.75" hidden="false" customHeight="true" outlineLevel="0" collapsed="false">
      <c r="A14" s="5" t="s">
        <v>484</v>
      </c>
      <c r="B14" s="5" t="s">
        <v>546</v>
      </c>
      <c r="C14" s="5" t="s">
        <v>547</v>
      </c>
    </row>
    <row r="15" customFormat="false" ht="33.75" hidden="false" customHeight="true" outlineLevel="0" collapsed="false">
      <c r="A15" s="6" t="s">
        <v>401</v>
      </c>
      <c r="B15" s="6" t="s">
        <v>548</v>
      </c>
      <c r="C15" s="6" t="s">
        <v>549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570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550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551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552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374</v>
      </c>
      <c r="B5" s="4" t="s">
        <v>375</v>
      </c>
      <c r="C5" s="4" t="s">
        <v>376</v>
      </c>
    </row>
    <row r="6" customFormat="false" ht="33.75" hidden="false" customHeight="true" outlineLevel="0" collapsed="false">
      <c r="A6" s="5" t="s">
        <v>84</v>
      </c>
      <c r="B6" s="5" t="s">
        <v>553</v>
      </c>
      <c r="C6" s="5" t="s">
        <v>554</v>
      </c>
    </row>
    <row r="7" customFormat="false" ht="33.75" hidden="false" customHeight="true" outlineLevel="0" collapsed="false">
      <c r="A7" s="6" t="s">
        <v>424</v>
      </c>
      <c r="B7" s="6" t="s">
        <v>555</v>
      </c>
      <c r="C7" s="6" t="s">
        <v>556</v>
      </c>
    </row>
    <row r="8" customFormat="false" ht="33.75" hidden="false" customHeight="true" outlineLevel="0" collapsed="false">
      <c r="A8" s="5" t="s">
        <v>139</v>
      </c>
      <c r="B8" s="5" t="s">
        <v>557</v>
      </c>
      <c r="C8" s="5" t="s">
        <v>556</v>
      </c>
    </row>
    <row r="9" customFormat="false" ht="33.75" hidden="false" customHeight="true" outlineLevel="0" collapsed="false">
      <c r="A9" s="6" t="s">
        <v>143</v>
      </c>
      <c r="B9" s="6" t="s">
        <v>558</v>
      </c>
      <c r="C9" s="6" t="s">
        <v>556</v>
      </c>
    </row>
    <row r="10" customFormat="false" ht="33.75" hidden="false" customHeight="true" outlineLevel="0" collapsed="false">
      <c r="A10" s="5" t="s">
        <v>148</v>
      </c>
      <c r="B10" s="5" t="s">
        <v>559</v>
      </c>
      <c r="C10" s="5" t="s">
        <v>560</v>
      </c>
    </row>
    <row r="11" customFormat="false" ht="33.75" hidden="false" customHeight="true" outlineLevel="0" collapsed="false">
      <c r="A11" s="6" t="s">
        <v>561</v>
      </c>
      <c r="B11" s="6" t="s">
        <v>562</v>
      </c>
      <c r="C11" s="6" t="s">
        <v>563</v>
      </c>
    </row>
    <row r="12" customFormat="false" ht="33.75" hidden="false" customHeight="true" outlineLevel="0" collapsed="false">
      <c r="A12" s="5" t="s">
        <v>564</v>
      </c>
      <c r="B12" s="5" t="s">
        <v>89</v>
      </c>
      <c r="C12" s="5" t="s">
        <v>565</v>
      </c>
    </row>
    <row r="13" customFormat="false" ht="33.75" hidden="false" customHeight="true" outlineLevel="0" collapsed="false">
      <c r="A13" s="6" t="s">
        <v>566</v>
      </c>
      <c r="B13" s="6" t="s">
        <v>567</v>
      </c>
      <c r="C13" s="6" t="s">
        <v>568</v>
      </c>
    </row>
    <row r="14" customFormat="false" ht="33.75" hidden="false" customHeight="true" outlineLevel="0" collapsed="false">
      <c r="A14" s="5" t="s">
        <v>569</v>
      </c>
      <c r="B14" s="5" t="s">
        <v>570</v>
      </c>
      <c r="C14" s="5" t="s">
        <v>571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tru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28"/>
  </cols>
  <sheetData>
    <row r="1" customFormat="false" ht="19.7" hidden="false" customHeight="false" outlineLevel="0" collapsed="false">
      <c r="A1" s="1" t="s">
        <v>572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573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574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575</v>
      </c>
      <c r="B5" s="4" t="s">
        <v>576</v>
      </c>
      <c r="C5" s="4" t="s">
        <v>240</v>
      </c>
      <c r="D5" s="4" t="s">
        <v>577</v>
      </c>
    </row>
    <row r="6" customFormat="false" ht="24" hidden="false" customHeight="true" outlineLevel="0" collapsed="false">
      <c r="A6" s="5" t="s">
        <v>578</v>
      </c>
      <c r="B6" s="5" t="s">
        <v>579</v>
      </c>
      <c r="C6" s="5" t="s">
        <v>580</v>
      </c>
      <c r="D6" s="5" t="s">
        <v>581</v>
      </c>
    </row>
    <row r="7" customFormat="false" ht="24" hidden="false" customHeight="true" outlineLevel="0" collapsed="false">
      <c r="A7" s="6" t="s">
        <v>582</v>
      </c>
      <c r="B7" s="6" t="s">
        <v>583</v>
      </c>
      <c r="C7" s="6" t="s">
        <v>580</v>
      </c>
      <c r="D7" s="6" t="s">
        <v>584</v>
      </c>
    </row>
    <row r="8" customFormat="false" ht="24" hidden="false" customHeight="true" outlineLevel="0" collapsed="false">
      <c r="A8" s="5" t="s">
        <v>585</v>
      </c>
      <c r="B8" s="5" t="s">
        <v>586</v>
      </c>
      <c r="C8" s="5" t="s">
        <v>244</v>
      </c>
      <c r="D8" s="5" t="s">
        <v>587</v>
      </c>
    </row>
    <row r="9" customFormat="false" ht="24" hidden="false" customHeight="true" outlineLevel="0" collapsed="false">
      <c r="A9" s="6" t="s">
        <v>588</v>
      </c>
      <c r="B9" s="6" t="s">
        <v>589</v>
      </c>
      <c r="C9" s="6" t="s">
        <v>244</v>
      </c>
      <c r="D9" s="6" t="s">
        <v>587</v>
      </c>
    </row>
    <row r="10" customFormat="false" ht="24" hidden="false" customHeight="true" outlineLevel="0" collapsed="false">
      <c r="A10" s="5" t="s">
        <v>590</v>
      </c>
      <c r="B10" s="5" t="s">
        <v>591</v>
      </c>
      <c r="C10" s="5" t="s">
        <v>592</v>
      </c>
      <c r="D10" s="5" t="s">
        <v>593</v>
      </c>
    </row>
    <row r="11" customFormat="false" ht="24" hidden="false" customHeight="true" outlineLevel="0" collapsed="false">
      <c r="A11" s="6" t="s">
        <v>594</v>
      </c>
      <c r="B11" s="6" t="s">
        <v>595</v>
      </c>
      <c r="C11" s="6" t="s">
        <v>596</v>
      </c>
      <c r="D11" s="6" t="s">
        <v>597</v>
      </c>
    </row>
    <row r="12" customFormat="false" ht="24" hidden="false" customHeight="true" outlineLevel="0" collapsed="false">
      <c r="A12" s="5" t="s">
        <v>364</v>
      </c>
      <c r="B12" s="5" t="s">
        <v>598</v>
      </c>
      <c r="C12" s="5" t="s">
        <v>596</v>
      </c>
      <c r="D12" s="5" t="s">
        <v>599</v>
      </c>
    </row>
    <row r="13" customFormat="false" ht="24" hidden="false" customHeight="true" outlineLevel="0" collapsed="false">
      <c r="A13" s="6" t="s">
        <v>600</v>
      </c>
      <c r="B13" s="6" t="s">
        <v>601</v>
      </c>
      <c r="C13" s="6" t="s">
        <v>602</v>
      </c>
      <c r="D13" s="6" t="s">
        <v>603</v>
      </c>
    </row>
    <row r="14" customFormat="false" ht="24" hidden="false" customHeight="true" outlineLevel="0" collapsed="false">
      <c r="A14" s="5" t="s">
        <v>604</v>
      </c>
      <c r="B14" s="5" t="s">
        <v>605</v>
      </c>
      <c r="C14" s="5" t="s">
        <v>606</v>
      </c>
      <c r="D14" s="5" t="s">
        <v>607</v>
      </c>
    </row>
    <row r="15" customFormat="false" ht="24" hidden="false" customHeight="true" outlineLevel="0" collapsed="false">
      <c r="A15" s="6" t="s">
        <v>608</v>
      </c>
      <c r="B15" s="6" t="s">
        <v>609</v>
      </c>
      <c r="C15" s="6" t="s">
        <v>610</v>
      </c>
      <c r="D15" s="6" t="s">
        <v>611</v>
      </c>
    </row>
    <row r="18" customFormat="false" ht="15" hidden="false" customHeight="true" outlineLevel="0" collapsed="false">
      <c r="A18" s="12" t="s">
        <v>612</v>
      </c>
      <c r="B18" s="12"/>
      <c r="C18" s="12"/>
      <c r="D18" s="12"/>
    </row>
    <row r="19" customFormat="false" ht="21.75" hidden="false" customHeight="true" outlineLevel="0" collapsed="false">
      <c r="A19" s="4" t="s">
        <v>613</v>
      </c>
      <c r="B19" s="4" t="s">
        <v>614</v>
      </c>
      <c r="C19" s="4" t="s">
        <v>615</v>
      </c>
    </row>
    <row r="20" customFormat="false" ht="15" hidden="false" customHeight="false" outlineLevel="0" collapsed="false">
      <c r="A20" s="15" t="s">
        <v>616</v>
      </c>
      <c r="B20" s="16" t="n">
        <v>18</v>
      </c>
      <c r="C20" s="6" t="s">
        <v>617</v>
      </c>
    </row>
    <row r="21" customFormat="false" ht="15" hidden="false" customHeight="false" outlineLevel="0" collapsed="false">
      <c r="A21" s="15" t="s">
        <v>618</v>
      </c>
      <c r="B21" s="16" t="n">
        <v>6</v>
      </c>
      <c r="C21" s="6" t="s">
        <v>619</v>
      </c>
    </row>
    <row r="22" customFormat="false" ht="15" hidden="false" customHeight="false" outlineLevel="0" collapsed="false">
      <c r="A22" s="15" t="s">
        <v>620</v>
      </c>
      <c r="B22" s="16" t="n">
        <v>5</v>
      </c>
      <c r="C22" s="6" t="s">
        <v>621</v>
      </c>
    </row>
    <row r="23" customFormat="false" ht="15" hidden="false" customHeight="false" outlineLevel="0" collapsed="false">
      <c r="A23" s="15" t="s">
        <v>622</v>
      </c>
      <c r="B23" s="16" t="n">
        <v>3</v>
      </c>
      <c r="C23" s="6" t="s">
        <v>623</v>
      </c>
    </row>
    <row r="24" customFormat="false" ht="15" hidden="false" customHeight="false" outlineLevel="0" collapsed="false">
      <c r="A24" s="15" t="s">
        <v>624</v>
      </c>
      <c r="B24" s="16" t="n">
        <v>4</v>
      </c>
      <c r="C24" s="6" t="s">
        <v>625</v>
      </c>
    </row>
    <row r="25" customFormat="false" ht="15" hidden="false" customHeight="false" outlineLevel="0" collapsed="false">
      <c r="A25" s="15" t="s">
        <v>626</v>
      </c>
      <c r="B25" s="16" t="n">
        <v>2</v>
      </c>
      <c r="C25" s="6" t="s">
        <v>627</v>
      </c>
    </row>
    <row r="26" customFormat="false" ht="15" hidden="false" customHeight="false" outlineLevel="0" collapsed="false">
      <c r="A26" s="15" t="s">
        <v>628</v>
      </c>
      <c r="B26" s="16" t="n">
        <v>6</v>
      </c>
      <c r="C26" s="6" t="s">
        <v>629</v>
      </c>
    </row>
    <row r="27" customFormat="false" ht="15" hidden="false" customHeight="false" outlineLevel="0" collapsed="false">
      <c r="A27" s="15" t="s">
        <v>630</v>
      </c>
      <c r="B27" s="16" t="n">
        <v>6</v>
      </c>
      <c r="C27" s="6" t="s">
        <v>631</v>
      </c>
    </row>
    <row r="29" customFormat="false" ht="21.75" hidden="false" customHeight="true" outlineLevel="0" collapsed="false">
      <c r="A29" s="4" t="s">
        <v>632</v>
      </c>
      <c r="B29" s="4" t="s">
        <v>633</v>
      </c>
      <c r="C29" s="4" t="s">
        <v>634</v>
      </c>
    </row>
    <row r="30" customFormat="false" ht="15" hidden="false" customHeight="false" outlineLevel="0" collapsed="false">
      <c r="A30" s="5" t="s">
        <v>635</v>
      </c>
      <c r="B30" s="5" t="s">
        <v>636</v>
      </c>
      <c r="C30" s="17" t="n">
        <f aca="false">B20-B21</f>
        <v>12</v>
      </c>
    </row>
    <row r="31" customFormat="false" ht="15" hidden="false" customHeight="false" outlineLevel="0" collapsed="false">
      <c r="A31" s="6" t="s">
        <v>637</v>
      </c>
      <c r="B31" s="6" t="s">
        <v>638</v>
      </c>
      <c r="C31" s="8" t="n">
        <f aca="false">B22+B23</f>
        <v>8</v>
      </c>
    </row>
    <row r="32" customFormat="false" ht="15" hidden="false" customHeight="false" outlineLevel="0" collapsed="false">
      <c r="A32" s="5" t="s">
        <v>639</v>
      </c>
      <c r="B32" s="5" t="s">
        <v>640</v>
      </c>
      <c r="C32" s="17" t="n">
        <f aca="false">2*B22+3*B23+B24</f>
        <v>23</v>
      </c>
    </row>
    <row r="33" customFormat="false" ht="15" hidden="false" customHeight="false" outlineLevel="0" collapsed="false">
      <c r="A33" s="6" t="s">
        <v>641</v>
      </c>
      <c r="B33" s="6" t="s">
        <v>642</v>
      </c>
      <c r="C33" s="8" t="n">
        <f aca="false">B25+B26</f>
        <v>8</v>
      </c>
    </row>
    <row r="34" customFormat="false" ht="15" hidden="false" customHeight="false" outlineLevel="0" collapsed="false">
      <c r="A34" s="5" t="s">
        <v>643</v>
      </c>
      <c r="B34" s="5" t="s">
        <v>644</v>
      </c>
      <c r="C34" s="17" t="n">
        <f aca="false">C32+C33+B27</f>
        <v>37</v>
      </c>
    </row>
    <row r="35" customFormat="false" ht="15" hidden="false" customHeight="false" outlineLevel="0" collapsed="false">
      <c r="A35" s="6" t="s">
        <v>645</v>
      </c>
      <c r="B35" s="6" t="s">
        <v>646</v>
      </c>
      <c r="C35" s="8" t="str">
        <f aca="false">IF(AND(C31&lt;=B20,B23&lt;=B21),"PASS","FAIL")</f>
        <v>PASS</v>
      </c>
    </row>
  </sheetData>
  <mergeCells count="4">
    <mergeCell ref="A1:H1"/>
    <mergeCell ref="A2:H2"/>
    <mergeCell ref="A3:H3"/>
    <mergeCell ref="A18:D18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1F1F"/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647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648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649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13" t="s">
        <v>650</v>
      </c>
      <c r="B5" s="16" t="s">
        <v>55</v>
      </c>
    </row>
    <row r="6" customFormat="false" ht="21.75" hidden="false" customHeight="true" outlineLevel="0" collapsed="false">
      <c r="A6" s="4" t="s">
        <v>651</v>
      </c>
      <c r="B6" s="4" t="s">
        <v>652</v>
      </c>
      <c r="C6" s="4" t="s">
        <v>653</v>
      </c>
      <c r="D6" s="4" t="s">
        <v>654</v>
      </c>
    </row>
    <row r="7" customFormat="false" ht="15" hidden="false" customHeight="false" outlineLevel="0" collapsed="false">
      <c r="A7" s="13" t="s">
        <v>655</v>
      </c>
      <c r="B7" s="16" t="s">
        <v>656</v>
      </c>
      <c r="C7" s="6" t="str">
        <f aca="false">IF(B7="YES","PASS","FAIL CLOSED")</f>
        <v>PASS</v>
      </c>
      <c r="D7" s="6" t="s">
        <v>657</v>
      </c>
    </row>
    <row r="8" customFormat="false" ht="26.85" hidden="false" customHeight="false" outlineLevel="0" collapsed="false">
      <c r="A8" s="13" t="s">
        <v>658</v>
      </c>
      <c r="B8" s="16" t="s">
        <v>656</v>
      </c>
      <c r="C8" s="6" t="str">
        <f aca="false">IF(B8="YES","PASS","FAIL CLOSED")</f>
        <v>PASS</v>
      </c>
      <c r="D8" s="6" t="s">
        <v>659</v>
      </c>
    </row>
    <row r="9" customFormat="false" ht="26.85" hidden="false" customHeight="false" outlineLevel="0" collapsed="false">
      <c r="A9" s="13" t="s">
        <v>660</v>
      </c>
      <c r="B9" s="16" t="s">
        <v>656</v>
      </c>
      <c r="C9" s="6" t="str">
        <f aca="false">IF(B9="YES","PASS","FAIL CLOSED")</f>
        <v>PASS</v>
      </c>
      <c r="D9" s="6" t="s">
        <v>661</v>
      </c>
    </row>
    <row r="10" customFormat="false" ht="26.85" hidden="false" customHeight="false" outlineLevel="0" collapsed="false">
      <c r="A10" s="13" t="s">
        <v>662</v>
      </c>
      <c r="B10" s="16" t="s">
        <v>656</v>
      </c>
      <c r="C10" s="6" t="str">
        <f aca="false">IF(B10="YES","PASS","FAIL CLOSED")</f>
        <v>PASS</v>
      </c>
      <c r="D10" s="6" t="s">
        <v>663</v>
      </c>
    </row>
    <row r="11" customFormat="false" ht="15" hidden="false" customHeight="false" outlineLevel="0" collapsed="false">
      <c r="A11" s="12" t="s">
        <v>664</v>
      </c>
      <c r="B11" s="12" t="str">
        <f aca="false">IF(COUNTIF(C7:C10,"FAIL CLOSED")=0,"SELECTABLE","FAIL CLOSED")</f>
        <v>SELECTABLE</v>
      </c>
    </row>
    <row r="13" customFormat="false" ht="26.85" hidden="false" customHeight="true" outlineLevel="0" collapsed="false">
      <c r="A13" s="18" t="s">
        <v>665</v>
      </c>
      <c r="B13" s="18" t="s">
        <v>666</v>
      </c>
      <c r="C13" s="18"/>
      <c r="D13" s="18"/>
    </row>
  </sheetData>
  <mergeCells count="4">
    <mergeCell ref="A1:H1"/>
    <mergeCell ref="A2:H2"/>
    <mergeCell ref="A3:H3"/>
    <mergeCell ref="B13:D1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570"/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667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668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669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670</v>
      </c>
      <c r="B5" s="4" t="s">
        <v>240</v>
      </c>
      <c r="C5" s="4" t="s">
        <v>671</v>
      </c>
    </row>
    <row r="6" customFormat="false" ht="27.75" hidden="false" customHeight="true" outlineLevel="0" collapsed="false">
      <c r="A6" s="5" t="s">
        <v>672</v>
      </c>
      <c r="B6" s="5" t="s">
        <v>673</v>
      </c>
      <c r="C6" s="5" t="s">
        <v>674</v>
      </c>
    </row>
    <row r="7" customFormat="false" ht="27.75" hidden="false" customHeight="true" outlineLevel="0" collapsed="false">
      <c r="A7" s="6" t="s">
        <v>675</v>
      </c>
      <c r="B7" s="6" t="s">
        <v>673</v>
      </c>
      <c r="C7" s="6" t="s">
        <v>676</v>
      </c>
    </row>
    <row r="8" customFormat="false" ht="27.75" hidden="false" customHeight="true" outlineLevel="0" collapsed="false">
      <c r="A8" s="5" t="s">
        <v>677</v>
      </c>
      <c r="B8" s="5" t="s">
        <v>673</v>
      </c>
      <c r="C8" s="5" t="s">
        <v>678</v>
      </c>
    </row>
    <row r="9" customFormat="false" ht="27.75" hidden="false" customHeight="true" outlineLevel="0" collapsed="false">
      <c r="A9" s="6" t="s">
        <v>679</v>
      </c>
      <c r="B9" s="6" t="s">
        <v>680</v>
      </c>
      <c r="C9" s="6" t="s">
        <v>681</v>
      </c>
    </row>
    <row r="10" customFormat="false" ht="27.75" hidden="false" customHeight="true" outlineLevel="0" collapsed="false">
      <c r="A10" s="5" t="s">
        <v>682</v>
      </c>
      <c r="B10" s="5" t="s">
        <v>683</v>
      </c>
      <c r="C10" s="5" t="s">
        <v>684</v>
      </c>
    </row>
    <row r="11" customFormat="false" ht="27.75" hidden="false" customHeight="true" outlineLevel="0" collapsed="false">
      <c r="A11" s="6" t="s">
        <v>685</v>
      </c>
      <c r="B11" s="6" t="s">
        <v>683</v>
      </c>
      <c r="C11" s="6" t="s">
        <v>686</v>
      </c>
    </row>
    <row r="12" customFormat="false" ht="27.75" hidden="false" customHeight="true" outlineLevel="0" collapsed="false">
      <c r="A12" s="5" t="s">
        <v>687</v>
      </c>
      <c r="B12" s="5" t="s">
        <v>683</v>
      </c>
      <c r="C12" s="5" t="s">
        <v>688</v>
      </c>
    </row>
    <row r="14" customFormat="false" ht="48" hidden="false" customHeight="true" outlineLevel="0" collapsed="false">
      <c r="A14" s="19" t="s">
        <v>689</v>
      </c>
      <c r="B14" s="19"/>
      <c r="C14" s="19"/>
    </row>
    <row r="15" customFormat="false" ht="15" hidden="false" customHeight="false" outlineLevel="0" collapsed="false">
      <c r="A15" s="19"/>
      <c r="B15" s="19"/>
      <c r="C15" s="19"/>
    </row>
    <row r="16" customFormat="false" ht="15" hidden="false" customHeight="false" outlineLevel="0" collapsed="false">
      <c r="A16" s="19"/>
      <c r="B16" s="19"/>
      <c r="C16" s="19"/>
    </row>
  </sheetData>
  <mergeCells count="4">
    <mergeCell ref="A1:H1"/>
    <mergeCell ref="A2:H2"/>
    <mergeCell ref="A3:H3"/>
    <mergeCell ref="A14:C16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&amp;LDCM v6 · ALL SPORTS · FAIL-CLOSED</oddHeader>
    <oddFooter>&amp;LLR000000 · no predictive claim · 2026-08-27&amp;RPage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2026-08-27T18:01:45Z</dcterms:created>
  <dc:creator>openpyxl</dc:creator>
  <dc:description/>
  <dc:language>en-US</dc:language>
  <cp:lastModifiedBy/>
  <dcterms:modified xsi:type="dcterms:W3CDTF">2026-08-27T18:01:49Z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