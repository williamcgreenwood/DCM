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COVER" sheetId="1" state="visible" r:id="rId3"/>
    <sheet name="01_LIMITATIONS" sheetId="2" state="visible" r:id="rId4"/>
    <sheet name="02_CFB_REBOOT" sheetId="3" state="visible" r:id="rId5"/>
    <sheet name="03_NFL_SETTLEMENT" sheetId="4" state="visible" r:id="rId6"/>
    <sheet name="04_GAP_MATRIX" sheetId="5" state="visible" r:id="rId7"/>
    <sheet name="05_STATE_MACHINE" sheetId="6" state="visible" r:id="rId8"/>
    <sheet name="06_FORMULAS" sheetId="7" state="visible" r:id="rId9"/>
    <sheet name="07_WORKED_EXAMPLE" sheetId="8" state="visible" r:id="rId10"/>
    <sheet name="08_DESIGN_RATIONALE" sheetId="9" state="visible" r:id="rId11"/>
    <sheet name="09_RECOMMENDATIONS" sheetId="10" state="visible" r:id="rId12"/>
    <sheet name="10_CODE_MAP" sheetId="11" state="visible" r:id="rId13"/>
    <sheet name="11_SOURC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<sst xmlns="http://schemas.openxmlformats.org/spreadsheetml/2006/main" count="871" uniqueCount="688">
  <si>
    <t xml:space="preserve">DCM v6.0 — Algorithms, Rules, Design &amp; Limitations Workbook</t>
  </si>
  <si>
    <t xml:space="preserve">CFB reboot eligibility · NFL settlement rules · standalone package expectations · formulas · recommended changes</t>
  </si>
  <si>
    <t xml:space="preserve">Compiled 2026-08-27  ·  Snapshot PRIZEPICKS_PLAYER_PICKS_2026-08-25_V1  ·  Package dcm_v6_workstream_ab  ·  ADR-V6-001  ·  LR000000</t>
  </si>
  <si>
    <t xml:space="preserve">Sheet</t>
  </si>
  <si>
    <t xml:space="preserve">Purpose</t>
  </si>
  <si>
    <t xml:space="preserve">00_COVER</t>
  </si>
  <si>
    <t xml:space="preserve">How to read this workbook and authority of each claim.</t>
  </si>
  <si>
    <t xml:space="preserve">01_LIMITATIONS</t>
  </si>
  <si>
    <t xml:space="preserve">What the standalone package is and is not. Expectations you may not load into it.</t>
  </si>
  <si>
    <t xml:space="preserve">02_CFB_REBOOT</t>
  </si>
  <si>
    <t xml:space="preserve">Official CFB reboot logic vs package logic. Playoff-only + named list.</t>
  </si>
  <si>
    <t xml:space="preserve">03_NFL_SETTLEMENT</t>
  </si>
  <si>
    <t xml:space="preserve">Official NFL DNP / Reboot / board / specialist / defense rules vs package.</t>
  </si>
  <si>
    <t xml:space="preserve">04_GAP_MATRIX</t>
  </si>
  <si>
    <t xml:space="preserve">Every official clause mapped to IMPLEMENTED / PARTIAL / MISSING / INTENTIONAL.</t>
  </si>
  <si>
    <t xml:space="preserve">05_STATE_MACHINE</t>
  </si>
  <si>
    <t xml:space="preserve">Administrative → Comparison → Economic order and accounting identities.</t>
  </si>
  <si>
    <t xml:space="preserve">06_FORMULAS</t>
  </si>
  <si>
    <t xml:space="preserve">Conservation identities, projection formulas, Leaderboard / MG math with live Excel formulas.</t>
  </si>
  <si>
    <t xml:space="preserve">07_WORKED_EXAMPLE</t>
  </si>
  <si>
    <t xml:space="preserve">Editable 6-pick example. Blue cells are inputs. Black cells are formulas.</t>
  </si>
  <si>
    <t xml:space="preserve">08_DESIGN_RATIONALE</t>
  </si>
  <si>
    <t xml:space="preserve">Why each design choice was made; alternatives rejected.</t>
  </si>
  <si>
    <t xml:space="preserve">09_RECOMMENDATIONS</t>
  </si>
  <si>
    <t xml:space="preserve">Ranked next changes. Do / Don't. Promotion gates.</t>
  </si>
  <si>
    <t xml:space="preserve">10_CODE_MAP</t>
  </si>
  <si>
    <t xml:space="preserve">Module → function → contract object.</t>
  </si>
  <si>
    <t xml:space="preserve">11_SOURCES</t>
  </si>
  <si>
    <t xml:space="preserve">Official pages used. Distinction between official text and commentary.</t>
  </si>
  <si>
    <t xml:space="preserve">HOW TO USE: Official PrizePicks text is the platform authority. DCM package code is the engineering authority of what this tree actually does. Where they disagree, the GAP sheet says so. Do not treat a passing unit test as proof that live PrizePicks would settle the same way. Yellow cells are assumptions that must be re-verified against the live page before any production settlement. Blue text in 07_WORKED_EXAMPLE is editable input. Do not infer payout from card size — the example table is a captured fixture hash companion, not the user's live display.</t>
  </si>
  <si>
    <t xml:space="preserve">Standalone package — limitations and expectations</t>
  </si>
  <si>
    <t xml:space="preserve">This tree is forward-development software. It is not a verified install of canonical Pillars DCM v5.4.1.</t>
  </si>
  <si>
    <t xml:space="preserve">If a stakeholder expects production forecasting, live board scraping, or a Learning Revision, stop. Those expectations are invalid at LR000000.</t>
  </si>
  <si>
    <t xml:space="preserve">Expectation someone might have</t>
  </si>
  <si>
    <t xml:space="preserve">Valid?</t>
  </si>
  <si>
    <t xml:space="preserve">Reality in this environment</t>
  </si>
  <si>
    <t xml:space="preserve">Correct use</t>
  </si>
  <si>
    <t xml:space="preserve">This is patched onto hash-verified v5.4.1</t>
  </si>
  <si>
    <t xml:space="preserve">NO</t>
  </si>
  <si>
    <t xml:space="preserve">Canonical source SHA-256 bd1fb433… could not be loaded. No install manifest was present. This package was written from the published blueprint field inventory.</t>
  </si>
  <si>
    <t xml:space="preserve">Treat as a standalone contract prototype. Re-apply against the real tree before calling it a baseline patch.</t>
  </si>
  <si>
    <t xml:space="preserve">Schema hash is still 6e78dacc…</t>
  </si>
  <si>
    <t xml:space="preserve">UNVERIFIED</t>
  </si>
  <si>
    <t xml:space="preserve">Original Phase_BC_Immutable_Contracts.json bytes were absent. Reconstruction inventory hash is 08be9307…. No new common object types were added.</t>
  </si>
  <si>
    <t xml:space="preserve">Re-hash the real frozen JSON on the accepted development host. Do not publish 08be9307 as the freeze hash.</t>
  </si>
  <si>
    <t xml:space="preserve">Football registry is production-ready for live cards</t>
  </si>
  <si>
    <t xml:space="preserve">Synthetic / specified worlds only. No live depth chart, injury feed, or board adapter. Opportunity and efficiency rates in fixtures are demonstration numbers.</t>
  </si>
  <si>
    <t xml:space="preserve">Use to prove conservation + settlement translation. Do not bet from fixture rates.</t>
  </si>
  <si>
    <t xml:space="preserve">CFB reboot list is the official PrizePicks list</t>
  </si>
  <si>
    <t xml:space="preserve">Package list is four fixture IDs (CFB_QB_001 …). Official page lists named CFP players (Craver, Toney, Moore, …) and scopes games to CFB Playoffs, not bowls.</t>
  </si>
  <si>
    <t xml:space="preserve">Replace fixture IDs with a dated official snapshot. Add game_phase ∈ {CFP_PLAYOFF, BOWL, REGULAR, OTHER}.</t>
  </si>
  <si>
    <t xml:space="preserve">NFL preseason can be settled like regular season</t>
  </si>
  <si>
    <t xml:space="preserve">NO — FAIL CLOSED</t>
  </si>
  <si>
    <t xml:space="preserve">Official: reboot not offered for preseason (NFLP). Package returns PRESEASON_RULE_UNVERIFIED / UNRESOLVED. Physical ledger may still be built for analytics.</t>
  </si>
  <si>
    <t xml:space="preserve">Keep fail-closed. Do not copy regular-season reboot rows onto NFLP.</t>
  </si>
  <si>
    <t xml:space="preserve">Leaderboard EV is modeled</t>
  </si>
  <si>
    <t xml:space="preserve">NO unless group scores supplied</t>
  </si>
  <si>
    <t xml:space="preserve">Without opponent score distribution, leaderboard_return_status = UNMODELED. Final reported return is the MG lower bound.</t>
  </si>
  <si>
    <t xml:space="preserve">Report TOTAL_PLATFORM_EV as PARTIAL. Never invent a field of opponents.</t>
  </si>
  <si>
    <t xml:space="preserve">Payout can be inferred from 6-pick published tables</t>
  </si>
  <si>
    <t xml:space="preserve">EntryContract requires payout_display_hash. Unknown MG table hash raises UNKNOWN_PLATFORM_RULE. Demo MG rows are a fixture companion only.</t>
  </si>
  <si>
    <t xml:space="preserve">Capture the displayed payout at submission. That display is the contract.</t>
  </si>
  <si>
    <t xml:space="preserve">Goblins can be selected if the optimizer wants them</t>
  </si>
  <si>
    <t xml:space="preserve">reject_goblin_selection raises on the production constructor. Analytics-only flag is explicit and separate.</t>
  </si>
  <si>
    <t xml:space="preserve">Keep the veto on every path including debug and portfolio repair.</t>
  </si>
  <si>
    <t xml:space="preserve">Tests prove PrizePicks would pay this amount</t>
  </si>
  <si>
    <t xml:space="preserve">41 tests prove the adapter obeys the encoded snapshot and accounting identities. They do not prove the snapshot equals tomorrow's live page.</t>
  </si>
  <si>
    <t xml:space="preserve">Re-verify official pages before each season / Playoff window.</t>
  </si>
  <si>
    <t xml:space="preserve">LR should bump because code shipped</t>
  </si>
  <si>
    <t xml:space="preserve">SOFTWARE VERSION ≠ LEARNING REVISION. Predictive superiority remains NONE. Card-tail calibration inactive.</t>
  </si>
  <si>
    <t xml:space="preserve">Promote LR only after future-only proper scores clear the frozen gates.</t>
  </si>
  <si>
    <t xml:space="preserve">Tracking (NGS, Statcast, SportVU) can write primitives</t>
  </si>
  <si>
    <t xml:space="preserve">Tracking is evidence. WAR / Strokes Gained / vendor AI outputs are not PrizePicks markets and are not conserved primitives.</t>
  </si>
  <si>
    <t xml:space="preserve">Feed them through EvidenceGraph only.</t>
  </si>
  <si>
    <t xml:space="preserve">Empty card is a failure</t>
  </si>
  <si>
    <t xml:space="preserve">Zero Playables must remain zero. Six legs are a target, not a fill requirement.</t>
  </si>
  <si>
    <t xml:space="preserve">Prefer an empty card over a fabricated edge.</t>
  </si>
  <si>
    <t xml:space="preserve">This package scrapes PrizePicks or places entries</t>
  </si>
  <si>
    <t xml:space="preserve">No network client, no account session, no board HAR ingestion in this tree. Missing HAR fixtures from v5 were not fabricated.</t>
  </si>
  <si>
    <t xml:space="preserve">Keep settlement as a pure function of frozen contracts + world projections.</t>
  </si>
  <si>
    <t xml:space="preserve">Basketball minimal module replaces LIVE v5 basketball</t>
  </si>
  <si>
    <t xml:space="preserve">sports/basketball/minimal.py exists only so the settlement adapter can be fixture-proven on a second sport.</t>
  </si>
  <si>
    <t xml:space="preserve">Do not delete or rewrite the accepted basketball registry if/when the real tree is attached.</t>
  </si>
  <si>
    <t xml:space="preserve">BOTTOM LINE: Use this package to reason about conservation, appearance atoms, and exact platform translation. Do not use it as a production handicapper, a live rules engine for money, or a claim that DCM v6 has earned predictive authority.</t>
  </si>
  <si>
    <t xml:space="preserve">CFB reboot eligibility — official logic vs package logic</t>
  </si>
  <si>
    <t xml:space="preserve">Official source: prizepicks.com/reboots (retrieved 2026-08-27). CFB is not 'NFL with different helmets.'</t>
  </si>
  <si>
    <t xml:space="preserve">Historical note: PrizeSupport 2025-12-16 said CFP games only, all offensive players + K/P. Current page shows Playoff-only AND a named qualifying-player list.</t>
  </si>
  <si>
    <t xml:space="preserve">Gate</t>
  </si>
  <si>
    <t xml:space="preserve">Official text (2026-08-27 page)</t>
  </si>
  <si>
    <t xml:space="preserve">What WSAB package does today</t>
  </si>
  <si>
    <t xml:space="preserve">Verdict</t>
  </si>
  <si>
    <t xml:space="preserve">Game phase</t>
  </si>
  <si>
    <t xml:space="preserve">Activates during CFB Playoff games. Will not be offered for any bowl games.</t>
  </si>
  <si>
    <t xml:space="preserve">No game_phase field. Any league=CFB pick can be evaluated if the player_id is in the fixture list.</t>
  </si>
  <si>
    <t xml:space="preserve">MISSING</t>
  </si>
  <si>
    <t xml:space="preserve">Board</t>
  </si>
  <si>
    <t xml:space="preserve">Only full-game CFB board. CFB 1H / 2H / 1Q / 4Q / CFBSZN do not qualify.</t>
  </si>
  <si>
    <t xml:space="preserve">No board field on EntryPickContract. Assumed full-game.</t>
  </si>
  <si>
    <t xml:space="preserve">Side</t>
  </si>
  <si>
    <t xml:space="preserve">MORE only. LESS is not Rebooted; official FAQ says if you pick LESS that pick still wins (i.e. comparison continues).</t>
  </si>
  <si>
    <t xml:space="preserve">LESS → LESS_NOT_REBOOTED, remains ACTIVE for comparison. Correct direction.</t>
  </si>
  <si>
    <t xml:space="preserve">IMPLEMENTED</t>
  </si>
  <si>
    <t xml:space="preserve">Exit window</t>
  </si>
  <si>
    <t xml:space="preserve">Leaves in the 1st Half AND does NOT return in the 2nd Half.</t>
  </si>
  <si>
    <t xml:space="preserve">Generic left_early AND did_not_return. Does not require first-half specifically.</t>
  </si>
  <si>
    <t xml:space="preserve">PARTIAL</t>
  </si>
  <si>
    <t xml:space="preserve">Player universe</t>
  </si>
  <si>
    <t xml:space="preserve">Named Qualifying Players list on the official page (Mario Craver, Malachi Toney, Dante Moore, … — 44 names retrieved).</t>
  </si>
  <si>
    <t xml:space="preserve">Frozen fixture set: CFB_QB_001, CFB_RB_001, CFB_WR_001, CFB_TE_001. Unlisted → UNRESOLVED (good fail-closed instinct, wrong contents).</t>
  </si>
  <si>
    <t xml:space="preserve">Team defense</t>
  </si>
  <si>
    <t xml:space="preserve">DST / team defense picks will not qualify.</t>
  </si>
  <si>
    <t xml:space="preserve">Defense roles excluded on NFL path; CFB uses the same stat-eligibility helper. DST market is not a first-class CFB market in the registry.</t>
  </si>
  <si>
    <t xml:space="preserve">Combo squares</t>
  </si>
  <si>
    <t xml:space="preserve">All MORE picks with the player reboot, including Combo Squares.</t>
  </si>
  <si>
    <t xml:space="preserve">No combo-square object. Single-player markets only.</t>
  </si>
  <si>
    <t xml:space="preserve">Already achieved MORE</t>
  </si>
  <si>
    <t xml:space="preserve">If the player hits the projection before leaving: treated like normal — MORE wins, LESS loses.</t>
  </si>
  <si>
    <t xml:space="preserve">achieved_before_exit → ACTIVE / ALREADY_ACHIEVED. Correct.</t>
  </si>
  <si>
    <t xml:space="preserve">K / P zero-opportunity</t>
  </si>
  <si>
    <t xml:space="preserve">Not specified on the current CFB section the way NFL specifies active-but-no-kick. Older CFP PDF (2024) did include K/P zero-attempt language.</t>
  </si>
  <si>
    <t xml:space="preserve">CFB path does not implement a K/P zero-opportunity branch.</t>
  </si>
  <si>
    <t xml:space="preserve">Regular season CFB</t>
  </si>
  <si>
    <t xml:space="preserve">Current page scopes activation to Playoff games. Do not infer regular-season reboot.</t>
  </si>
  <si>
    <t xml:space="preserve">Would reboot a registered fixture player in a generic CFB event.</t>
  </si>
  <si>
    <t xml:space="preserve">WRONG SCOPE</t>
  </si>
  <si>
    <t xml:space="preserve">Unknown player</t>
  </si>
  <si>
    <t xml:space="preserve">If the player is not on the qualifying list, official reboot does not apply. Settlement is ordinary comparison or other DNP rules — not a guessed reboot.</t>
  </si>
  <si>
    <t xml:space="preserve">UNRESOLVED / CFB_PLAYER_NOT_IN_REBOOT_REGISTRY. Conservative, but UNRESOLVED is stricter than 'reboot inapplicable, compare normally' when the game is regular-season.</t>
  </si>
  <si>
    <t xml:space="preserve">REVIEW</t>
  </si>
  <si>
    <t xml:space="preserve">Stat-key list</t>
  </si>
  <si>
    <t xml:space="preserve">Public page does not publish a complete machine-readable stat-key list. Rate / 'X in Y attempts' / partial-period families are excluded on NFL; CFB FAQ does not repeat that sentence.</t>
  </si>
  <si>
    <t xml:space="preserve">Uses the NFL eligible-stat frozenset as a stand-in. That copy is not officially justified for CFB.</t>
  </si>
  <si>
    <t xml:space="preserve">Recommended CFB decision function (next patch)</t>
  </si>
  <si>
    <t xml:space="preserve">IF board ≠ CFB_FULL_GAME → ACTIVE (reboot inapplicable), never guess.
IF game_phase ≠ CFP_PLAYOFF → ACTIVE for reboot purposes (regular/bowl/unknown phase is not a Playoff reboot). Unknown phase → UNRESOLVED, do not invent Playoff status.
IF player_id not in frozen official snapshot list for that Playoff window → reboot inapplicable (ACTIVE comparison), unless the live page is incomplete in a way that makes eligibility unknowable — then UNRESOLVED.
IF side ≠ MORE → ACTIVE (LESS continues to compare).
IF DST / excluded family → ACTIVE.
IF left_1H AND no_return_2H AND not achieved_before_exit → REBOOT.
IF achieved_before_exit → ACTIVE comparison using the official stat.</t>
  </si>
  <si>
    <t xml:space="preserve">Official qualifying-player snapshot retrieved 2026-08-27 from prizepicks.com/reboots</t>
  </si>
  <si>
    <t xml:space="preserve">#</t>
  </si>
  <si>
    <t xml:space="preserve">Official listed name</t>
  </si>
  <si>
    <t xml:space="preserve">In WSAB fixture registry?</t>
  </si>
  <si>
    <t xml:space="preserve">Action</t>
  </si>
  <si>
    <t xml:space="preserve">Mario Craver</t>
  </si>
  <si>
    <t xml:space="preserve">Do not copy into production without a dated hash + source URL</t>
  </si>
  <si>
    <t xml:space="preserve">Malachi Toney</t>
  </si>
  <si>
    <t xml:space="preserve">Dante Moore</t>
  </si>
  <si>
    <t xml:space="preserve">CJ Carr</t>
  </si>
  <si>
    <t xml:space="preserve">Jayden Maiava</t>
  </si>
  <si>
    <t xml:space="preserve">Julian Sayin</t>
  </si>
  <si>
    <t xml:space="preserve">Trinidad Chambliss</t>
  </si>
  <si>
    <t xml:space="preserve">John Mateer</t>
  </si>
  <si>
    <t xml:space="preserve">Jeremiah Smith</t>
  </si>
  <si>
    <t xml:space="preserve">Cam Coleman</t>
  </si>
  <si>
    <t xml:space="preserve">Bear Bachmeier</t>
  </si>
  <si>
    <t xml:space="preserve">Isaiah Sategna</t>
  </si>
  <si>
    <t xml:space="preserve">Duce Robinson</t>
  </si>
  <si>
    <t xml:space="preserve">Cameron Dickey</t>
  </si>
  <si>
    <t xml:space="preserve">Ryan Williams</t>
  </si>
  <si>
    <t xml:space="preserve">Dakorien Moore</t>
  </si>
  <si>
    <t xml:space="preserve">Marcel Reed</t>
  </si>
  <si>
    <t xml:space="preserve">Desean Bishop</t>
  </si>
  <si>
    <t xml:space="preserve">Nate Frazier</t>
  </si>
  <si>
    <t xml:space="preserve">Charlie Becker</t>
  </si>
  <si>
    <t xml:space="preserve">Gunner Stockton</t>
  </si>
  <si>
    <t xml:space="preserve">Jaron-Keawe Sagapolutele</t>
  </si>
  <si>
    <t xml:space="preserve">Terrance Carter</t>
  </si>
  <si>
    <t xml:space="preserve">Darian Mensah</t>
  </si>
  <si>
    <t xml:space="preserve">Jordan Faison</t>
  </si>
  <si>
    <t xml:space="preserve">Bryant Wesco</t>
  </si>
  <si>
    <t xml:space="preserve">Sam Leavitt</t>
  </si>
  <si>
    <t xml:space="preserve">Josh Hoover</t>
  </si>
  <si>
    <t xml:space="preserve">Trey'Dez Green</t>
  </si>
  <si>
    <t xml:space="preserve">Nick Marsh</t>
  </si>
  <si>
    <t xml:space="preserve">LaNorris Sellers</t>
  </si>
  <si>
    <t xml:space="preserve">LJ Martin</t>
  </si>
  <si>
    <t xml:space="preserve">Mason Heintschel</t>
  </si>
  <si>
    <t xml:space="preserve">Ryan Wingo</t>
  </si>
  <si>
    <t xml:space="preserve">Bryce Underwood</t>
  </si>
  <si>
    <t xml:space="preserve">Kewan Lacy</t>
  </si>
  <si>
    <t xml:space="preserve">Rocco Becht</t>
  </si>
  <si>
    <t xml:space="preserve">Arch Manning</t>
  </si>
  <si>
    <t xml:space="preserve">TJ Moore</t>
  </si>
  <si>
    <t xml:space="preserve">Mark Fletcher</t>
  </si>
  <si>
    <t xml:space="preserve">Antwan Raymond</t>
  </si>
  <si>
    <t xml:space="preserve">Cam Cook</t>
  </si>
  <si>
    <t xml:space="preserve">Byrum Brown</t>
  </si>
  <si>
    <t xml:space="preserve">Jadan Baugh</t>
  </si>
  <si>
    <t xml:space="preserve">Count</t>
  </si>
  <si>
    <t xml:space="preserve">NFL settlement rules — official stack</t>
  </si>
  <si>
    <t xml:space="preserve">Sources: prizepicks.com/reboots · help-center/dnps-reboots-and-ties (updated 2026-08-11) · help-center/potential-outcomes (updated 2026-08-24) · NFL playbook scoring article</t>
  </si>
  <si>
    <t xml:space="preserve">Physical comparison ≠ pick result ≠ lineup economics. That separation is load-bearing.</t>
  </si>
  <si>
    <t xml:space="preserve">Topic</t>
  </si>
  <si>
    <t xml:space="preserve">Official rule</t>
  </si>
  <si>
    <t xml:space="preserve">WSAB encoding</t>
  </si>
  <si>
    <t xml:space="preserve">Status</t>
  </si>
  <si>
    <t xml:space="preserve">Season scope</t>
  </si>
  <si>
    <t xml:space="preserve">Regular season or postseason. Not currently offered for preseason. NFLP / NFLSZN / partial boards do not qualify for Reboot.</t>
  </si>
  <si>
    <t xml:space="preserve">league=NFLP → PRESEASON_RULE_UNVERIFIED / UNRESOLVED. Good. No explicit POSTSEASON vs REGULAR flag (both allowed by official text).</t>
  </si>
  <si>
    <t xml:space="preserve">DNP — offense</t>
  </si>
  <si>
    <t xml:space="preserve">Offensive players DNP if they do not receive an offensive snap (or a return TD per scoring article). Period props DNP if they don't play in that window.</t>
  </si>
  <si>
    <t xml:space="preserve">status=DNP|INACTIVE → AdministrativeState.DNP. Snap count is not independently audited against the official snap chart.</t>
  </si>
  <si>
    <t xml:space="preserve">DNP — defense</t>
  </si>
  <si>
    <t xml:space="preserve">Defensive players DNP if they do not receive a defensive snap.</t>
  </si>
  <si>
    <t xml:space="preserve">Defense can DNP via status flag. Defense is reboot-excluded separately.</t>
  </si>
  <si>
    <t xml:space="preserve">Reboot window</t>
  </si>
  <si>
    <t xml:space="preserve">MORE on eligible full-game projection AND leave in 1st Half AND no return in 2nd Half.</t>
  </si>
  <si>
    <t xml:space="preserve">left_early AND did_not_return. Missing explicit 1H clock bound.</t>
  </si>
  <si>
    <t xml:space="preserve">LESS</t>
  </si>
  <si>
    <t xml:space="preserve">LESS is not Rebooted. FAQ: if you pick LESS, that pick still wins (comparison continues).</t>
  </si>
  <si>
    <t xml:space="preserve">LESS_NOT_REBOOTED, ACTIVE. Correct.</t>
  </si>
  <si>
    <t xml:space="preserve">Already hit MORE</t>
  </si>
  <si>
    <t xml:space="preserve">Treated like normal — MORE wins, LESS loses. Do not Reboot a cleared MORE.</t>
  </si>
  <si>
    <t xml:space="preserve">achieved_before_exit short-circuits to ACTIVE.</t>
  </si>
  <si>
    <t xml:space="preserve">Defense reboot</t>
  </si>
  <si>
    <t xml:space="preserve">NFL defensive players are currently not eligible to be Rebooted.</t>
  </si>
  <si>
    <t xml:space="preserve">NFL_DEFENSE_ROLES → DEFENSE_EXCLUDED.</t>
  </si>
  <si>
    <t xml:space="preserve">Special teams</t>
  </si>
  <si>
    <t xml:space="preserve">ST not eligible except kickers/punters listed active who record zero kick/punt respectively.</t>
  </si>
  <si>
    <t xml:space="preserve">K/P zero-opportunity path implemented. Other ST roles not modeled as a class.</t>
  </si>
  <si>
    <t xml:space="preserve">Excluded stat families</t>
  </si>
  <si>
    <t xml:space="preserve">Stats that measure [x] achievements in [x] attempts, and partial-period (Q/H) markets, are not reboot-eligible.</t>
  </si>
  <si>
    <t xml:space="preserve">Frozen allowlist of volume totals. Unknown key → UNKNOWN. Rate-stat family is not a first-class classifier.</t>
  </si>
  <si>
    <t xml:space="preserve">Combo reboots if one or more members qualify.</t>
  </si>
  <si>
    <t xml:space="preserve">Not implemented.</t>
  </si>
  <si>
    <t xml:space="preserve">Tier step on DNP/Reboot</t>
  </si>
  <si>
    <t xml:space="preserve">Each DNP/Reboot drops one tier (6→5→4…). 2-pick with DNP/Reboot refunds.</t>
  </si>
  <si>
    <t xml:space="preserve">administrative_removed_count tracked. MG lookup keyed by remaining tier × wins. 2-pick refund is in the fixture table as (2,0) and same-team/empty-active refund path. Dedicated 2-pick-after-removal refund is handled when no active remain; a 2→1 remaining case uses the MG table row if present.</t>
  </si>
  <si>
    <t xml:space="preserve">Tie vs DNP</t>
  </si>
  <si>
    <t xml:space="preserve">Tie lowers payout tier but is NOT removed and does NOT trigger same-team / min-pick ineligibility the way DNP/Reboot does.</t>
  </si>
  <si>
    <t xml:space="preserve">TIE → TIER_REDUCTION, stays in eligibility_population_count. Correct separation.</t>
  </si>
  <si>
    <t xml:space="preserve">Same-team after removal</t>
  </si>
  <si>
    <t xml:space="preserve">If DNP/Reboot leaves all remaining players on one team, lineup ineligible and refunded.</t>
  </si>
  <si>
    <t xml:space="preserve">distinct_remaining_team_count == 1 and removed nonempty → REFUND of stake.</t>
  </si>
  <si>
    <t xml:space="preserve">Leaderboard points</t>
  </si>
  <si>
    <t xml:space="preserve">Demon 1.05 / Standard 1.00 / Goblin·Discount·Stack 0.95 / same-player stack win 0.95 override / DNP·Tie·Reboot·Loss·unsettled-after-early-exit 0.</t>
  </si>
  <si>
    <t xml:space="preserve">Weights on EntryPickContract. Stack override not fully encoded as a same-player detector.</t>
  </si>
  <si>
    <t xml:space="preserve">Final cash</t>
  </si>
  <si>
    <t xml:space="preserve">If both Leaderboard and Minimum Guarantee qualify, member receives the higher amount. They do not stack. Displayed lineup payout controls over published examples.</t>
  </si>
  <si>
    <t xml:space="preserve">R_final = max(R_LB, R_MG) when LB modeled; else MG lower bound. Display hash required.</t>
  </si>
  <si>
    <t xml:space="preserve">Early Payout</t>
  </si>
  <si>
    <t xml:space="preserve">Optional slider; forfeits remaining upside; eligibility constraints (bonus balance, discounts, mixed team picks, two-athlete compile rule).</t>
  </si>
  <si>
    <t xml:space="preserve">Not implemented. Correct to defer — it changes MG eligibility mid-contract.</t>
  </si>
  <si>
    <t xml:space="preserve">DEFERRED</t>
  </si>
  <si>
    <t xml:space="preserve">Sport truth vs platform truth</t>
  </si>
  <si>
    <t xml:space="preserve">Settlement uses official results as originally posted; later stat corrections generally do not rewrite a settled pick.</t>
  </si>
  <si>
    <t xml:space="preserve">Failure code SPORT_STAT_REVISION_AFTER_SETTLEMENT exists as doctrine; no OfficialSportStat object wired in this slice.</t>
  </si>
  <si>
    <t xml:space="preserve">DOCTRINE ONLY</t>
  </si>
  <si>
    <t xml:space="preserve">Fantasy score markets</t>
  </si>
  <si>
    <t xml:space="preserve">PrizePicks NFL fantasy scoring is a PLATFORM_SCORE (0.04 pass yd, 4 pass TD, −1 INT, 0.1 rush/rec yd, 1 PPR, 6 rush/rec TD, …).</t>
  </si>
  <si>
    <t xml:space="preserve">Not in the football primitive registry as a verified MarketDefinition. Would be derived, never independently sampled.</t>
  </si>
  <si>
    <t xml:space="preserve">NOT IN SLICE</t>
  </si>
  <si>
    <t xml:space="preserve">Official clause → package status</t>
  </si>
  <si>
    <t xml:space="preserve">IMPLEMENTED means tests exist. PARTIAL means directionally right but missing a predicate. MISSING means do not pretend.</t>
  </si>
  <si>
    <t xml:space="preserve">Priority 1 items are required before anyone uses this adapter on live CFB Playoff or NFL regular-season cards.</t>
  </si>
  <si>
    <t xml:space="preserve">Prio</t>
  </si>
  <si>
    <t xml:space="preserve">Gap</t>
  </si>
  <si>
    <t xml:space="preserve">League</t>
  </si>
  <si>
    <t xml:space="preserve">Next encoding</t>
  </si>
  <si>
    <t xml:space="preserve">1</t>
  </si>
  <si>
    <t xml:space="preserve">CFB game_phase = CFP_PLAYOFF only</t>
  </si>
  <si>
    <t xml:space="preserve">CFB</t>
  </si>
  <si>
    <t xml:space="preserve">Add frozen field on the event + pick. Bowl/regular/unknown ≠ Playoff.</t>
  </si>
  <si>
    <t xml:space="preserve">CFB official qualifying-player snapshot</t>
  </si>
  <si>
    <t xml:space="preserve">Replace fixture IDs with hashed official list + retrieval timestamp + URL.</t>
  </si>
  <si>
    <t xml:space="preserve">First-half leave predicate</t>
  </si>
  <si>
    <t xml:space="preserve">NFL+CFB</t>
  </si>
  <si>
    <t xml:space="preserve">Require left_first_half AND no_second_half_return, not generic left_early.</t>
  </si>
  <si>
    <t xml:space="preserve">Board key (full-game vs 1H/1Q/SZN/NFLP)</t>
  </si>
  <si>
    <t xml:space="preserve">EntryPickContract.board_id. Partial boards never reboot.</t>
  </si>
  <si>
    <t xml:space="preserve">2</t>
  </si>
  <si>
    <t xml:space="preserve">Combo-square reboot if any member qualifies</t>
  </si>
  <si>
    <t xml:space="preserve">Combo as derived market over member primitives + member reboot OR.</t>
  </si>
  <si>
    <t xml:space="preserve">Rate-stat / attempts-family classifier</t>
  </si>
  <si>
    <t xml:space="preserve">NFL</t>
  </si>
  <si>
    <t xml:space="preserve">Treat 'X in Y attempts' as a family excluded from reboot, not a guessed allowlist hole.</t>
  </si>
  <si>
    <t xml:space="preserve">2-pick → 1 remaining refund row</t>
  </si>
  <si>
    <t xml:space="preserve">ALL</t>
  </si>
  <si>
    <t xml:space="preserve">Encode official 2-pick DNP/Reboot refund as a rule, not only as a missing MG cell.</t>
  </si>
  <si>
    <t xml:space="preserve">Same-player stack LB weight 0.95 override</t>
  </si>
  <si>
    <t xml:space="preserve">Detect two winning picks with same player_id and force 0.95 each.</t>
  </si>
  <si>
    <t xml:space="preserve">3</t>
  </si>
  <si>
    <t xml:space="preserve">OfficialSportStat vs PickSettlement timestamps</t>
  </si>
  <si>
    <t xml:space="preserve">DOCTRINE</t>
  </si>
  <si>
    <t xml:space="preserve">Wire two clocks so later box-score edits cannot rewrite platform economics.</t>
  </si>
  <si>
    <t xml:space="preserve">NFL fantasy PLATFORM_SCORE definition</t>
  </si>
  <si>
    <t xml:space="preserve">Versioned formula object. Derive from primitives. Do not sample fantasy independently.</t>
  </si>
  <si>
    <t xml:space="preserve">Early Payout interaction</t>
  </si>
  <si>
    <t xml:space="preserve">Do not infer. Capture as an EntryContract amendment if the user actually exits.</t>
  </si>
  <si>
    <t xml:space="preserve">Live group-score distribution</t>
  </si>
  <si>
    <t xml:space="preserve">UNMODELED</t>
  </si>
  <si>
    <t xml:space="preserve">Keep UNMODELED. Research-only IID helper stays labeled RESEARCH_ONLY.</t>
  </si>
  <si>
    <t xml:space="preserve">Settlement state machine and accounting identities</t>
  </si>
  <si>
    <t xml:space="preserve">Order is mandatory. Comparison is illegal until administration is resolved.</t>
  </si>
  <si>
    <t xml:space="preserve">Identities are integrity checks, not probability knobs.</t>
  </si>
  <si>
    <t xml:space="preserve">Step</t>
  </si>
  <si>
    <t xml:space="preserve">Dimension</t>
  </si>
  <si>
    <t xml:space="preserve">States</t>
  </si>
  <si>
    <t xml:space="preserve">Rule</t>
  </si>
  <si>
    <t xml:space="preserve">0. Contract freeze</t>
  </si>
  <si>
    <t xml:space="preserve">EntryContract</t>
  </si>
  <si>
    <t xml:space="preserve">immutable</t>
  </si>
  <si>
    <t xml:space="preserve">payout_display_hash, stake, picks, rule version captured at submission. No later reconstruction from card size.</t>
  </si>
  <si>
    <t xml:space="preserve">1. Administration</t>
  </si>
  <si>
    <t xml:space="preserve">AdministrativeState</t>
  </si>
  <si>
    <t xml:space="preserve">ACTIVE DNP REBOOT CANCELLED INVALID_MARKET UNRESOLVED</t>
  </si>
  <si>
    <t xml:space="preserve">DNP / Reboot / cancel first. Unknown rule → UNRESOLVED, never WIN.</t>
  </si>
  <si>
    <t xml:space="preserve">2. Comparison</t>
  </si>
  <si>
    <t xml:space="preserve">ComparisonState</t>
  </si>
  <si>
    <t xml:space="preserve">WIN LOSS TIE NOT_APPLICABLE</t>
  </si>
  <si>
    <t xml:space="preserve">Only if ACTIVE. MORE wins iff value &gt; line; LESS iff value &lt; line; exact is TIE under PUSH_ON_EXACT.</t>
  </si>
  <si>
    <t xml:space="preserve">3. Economics</t>
  </si>
  <si>
    <t xml:space="preserve">EconomicState</t>
  </si>
  <si>
    <t xml:space="preserve">COUNTS_AS_WIN COUNTS_AS_LOSS TIER_REDUCTION REMOVED UNRESOLVED</t>
  </si>
  <si>
    <t xml:space="preserve">REMOVED = DNP/Reboot. TIER_REDUCTION = tie. UNRESOLVED poisons the lineup.</t>
  </si>
  <si>
    <t xml:space="preserve">4. Counts</t>
  </si>
  <si>
    <t xml:space="preserve">LineupSettlement</t>
  </si>
  <si>
    <t xml:space="preserve">two different N's</t>
  </si>
  <si>
    <t xml:space="preserve">payout_tier_count uses remaining after admin removal (ties still occupy a slot). eligibility_population_count excludes DNP/Reboot, includes ties.</t>
  </si>
  <si>
    <t xml:space="preserve">5. Same-team</t>
  </si>
  <si>
    <t xml:space="preserve">lineup economic</t>
  </si>
  <si>
    <t xml:space="preserve">REFUND</t>
  </si>
  <si>
    <t xml:space="preserve">After removals, if remaining set nonempty and one team → refund stake.</t>
  </si>
  <si>
    <t xml:space="preserve">6. MG</t>
  </si>
  <si>
    <t xml:space="preserve">Minimum Guarantee</t>
  </si>
  <si>
    <t xml:space="preserve">table[tier, wins]</t>
  </si>
  <si>
    <t xml:space="preserve">Lookup by captured table hash. Missing row → UNKNOWN_PLATFORM_RULE.</t>
  </si>
  <si>
    <t xml:space="preserve">7. Leaderboard</t>
  </si>
  <si>
    <t xml:space="preserve">S and R_LB</t>
  </si>
  <si>
    <t xml:space="preserve">MODELED or UNMODELED</t>
  </si>
  <si>
    <t xml:space="preserve">S = Σ q_j I(WIN). R_LB = L/T if user tied for max, else 0. Without group context: UNMODELED.</t>
  </si>
  <si>
    <t xml:space="preserve">8. Final</t>
  </si>
  <si>
    <t xml:space="preserve">R_final</t>
  </si>
  <si>
    <t xml:space="preserve">max(LB, MG)</t>
  </si>
  <si>
    <t xml:space="preserve">Do not stack. If LB unmodeled, report MG as lower bound and label TOTAL EV PARTIAL.</t>
  </si>
  <si>
    <t xml:space="preserve">Identity</t>
  </si>
  <si>
    <t xml:space="preserve">Formula</t>
  </si>
  <si>
    <t xml:space="preserve">If violated</t>
  </si>
  <si>
    <t xml:space="preserve">Code path</t>
  </si>
  <si>
    <t xml:space="preserve">Pick conservation</t>
  </si>
  <si>
    <t xml:space="preserve">active + void/DNP + reboot = original_pick_count</t>
  </si>
  <si>
    <t xml:space="preserve">Hard error</t>
  </si>
  <si>
    <t xml:space="preserve">settle_world_lineup</t>
  </si>
  <si>
    <t xml:space="preserve">Active partition</t>
  </si>
  <si>
    <t xml:space="preserve">wins + losses + pushes = active</t>
  </si>
  <si>
    <t xml:space="preserve">Net return</t>
  </si>
  <si>
    <t xml:space="preserve">net = final_platform_return − stake</t>
  </si>
  <si>
    <t xml:space="preserve">Reporting identity</t>
  </si>
  <si>
    <t xml:space="preserve">LineupSettlement.net_return</t>
  </si>
  <si>
    <t xml:space="preserve">Payout≠profit</t>
  </si>
  <si>
    <t xml:space="preserve">I(final&gt;0) is not I(net&gt;0)</t>
  </si>
  <si>
    <t xml:space="preserve">Must report both</t>
  </si>
  <si>
    <t xml:space="preserve">test_payout_gt_zero_is_not_net_gt_zero</t>
  </si>
  <si>
    <t xml:space="preserve">Algorithms and formulas</t>
  </si>
  <si>
    <t xml:space="preserve">These are the declared definition-version identities. Changing a convention requires a new definition_version, not a silent edit.</t>
  </si>
  <si>
    <t xml:space="preserve">Definition FOOTBALL_CONSERVATION_V1_2026-08-27 · PP snapshot 2026-08-25_V1</t>
  </si>
  <si>
    <t xml:space="preserve">Family</t>
  </si>
  <si>
    <t xml:space="preserve">Formula / algorithm</t>
  </si>
  <si>
    <t xml:space="preserve">Kind</t>
  </si>
  <si>
    <t xml:space="preserve">Notes</t>
  </si>
  <si>
    <t xml:space="preserve">Rush split</t>
  </si>
  <si>
    <t xml:space="preserve">rush_att = designed_rush_att + scramble_att</t>
  </si>
  <si>
    <t xml:space="preserve">IDENTITY</t>
  </si>
  <si>
    <t xml:space="preserve">Player and team.</t>
  </si>
  <si>
    <t xml:space="preserve">Dropbacks</t>
  </si>
  <si>
    <t xml:space="preserve">dropbacks = pass_att + sacks_taken + scramble_att</t>
  </si>
  <si>
    <t xml:space="preserve">Declared dropback semantics for this version.</t>
  </si>
  <si>
    <t xml:space="preserve">Team plays</t>
  </si>
  <si>
    <t xml:space="preserve">team_off_plays = team_pass_att + team_rush_att + team_sacks_taken</t>
  </si>
  <si>
    <t xml:space="preserve">Also = dropbacks + designed_rush_att under the two identities above.</t>
  </si>
  <si>
    <t xml:space="preserve">Snap occupancy</t>
  </si>
  <si>
    <t xml:space="preserve">Σ player.off_snaps  ≠  team_off_plays</t>
  </si>
  <si>
    <t xml:space="preserve">NON-IDENTITY</t>
  </si>
  <si>
    <t xml:space="preserve">Multiple players occupy one play. Do not enforce equality.</t>
  </si>
  <si>
    <t xml:space="preserve">Completions bound</t>
  </si>
  <si>
    <t xml:space="preserve">pass_cmp ≤ pass_att</t>
  </si>
  <si>
    <t xml:space="preserve">BOUND</t>
  </si>
  <si>
    <t xml:space="preserve">Fail closed.</t>
  </si>
  <si>
    <t xml:space="preserve">Targets chain</t>
  </si>
  <si>
    <t xml:space="preserve">receptions ≤ targets ≤ routes (if routes present)</t>
  </si>
  <si>
    <t xml:space="preserve">Routes optional; if absent, skip the second inequality.</t>
  </si>
  <si>
    <t xml:space="preserve">Kick bounds</t>
  </si>
  <si>
    <t xml:space="preserve">fg_made ≤ fg_att ; xp_made ≤ xp_att</t>
  </si>
  <si>
    <t xml:space="preserve">Target allocation</t>
  </si>
  <si>
    <t xml:space="preserve">Σ player.targets = team_targets</t>
  </si>
  <si>
    <t xml:space="preserve">RESOURCE</t>
  </si>
  <si>
    <t xml:space="preserve">Eligible receivers only.</t>
  </si>
  <si>
    <t xml:space="preserve">Pass/rec yards</t>
  </si>
  <si>
    <t xml:space="preserve">team_pass_yds = team_rec_yds</t>
  </si>
  <si>
    <t xml:space="preserve">IDENTITY under NO_LATERAL</t>
  </si>
  <si>
    <t xml:space="preserve">Laterals/scramble scoring need a new definition version.</t>
  </si>
  <si>
    <t xml:space="preserve">pass_rush_yds</t>
  </si>
  <si>
    <t xml:space="preserve">pass_yds + rush_yds</t>
  </si>
  <si>
    <t xml:space="preserve">DERIVED</t>
  </si>
  <si>
    <t xml:space="preserve">Never sampled independently.</t>
  </si>
  <si>
    <t xml:space="preserve">rush_rec_yds</t>
  </si>
  <si>
    <t xml:space="preserve">rush_yds + rec_yds</t>
  </si>
  <si>
    <t xml:space="preserve">rush_rec_td</t>
  </si>
  <si>
    <t xml:space="preserve">rush_td + rec_td</t>
  </si>
  <si>
    <t xml:space="preserve">NBA 2PA</t>
  </si>
  <si>
    <t xml:space="preserve">2PA = FGA − 3PA</t>
  </si>
  <si>
    <t xml:space="preserve">Basketball fixture.</t>
  </si>
  <si>
    <t xml:space="preserve">NBA FGM</t>
  </si>
  <si>
    <t xml:space="preserve">FGM = 2PM + 3PM</t>
  </si>
  <si>
    <t xml:space="preserve">NBA REB</t>
  </si>
  <si>
    <t xml:space="preserve">REB = OREB + DREB</t>
  </si>
  <si>
    <t xml:space="preserve">NBA PTS</t>
  </si>
  <si>
    <t xml:space="preserve">PTS = 2·2PM + 3·3PM + FTM</t>
  </si>
  <si>
    <t xml:space="preserve">NBA PRA</t>
  </si>
  <si>
    <t xml:space="preserve">PRA = PTS + REB + AST</t>
  </si>
  <si>
    <t xml:space="preserve">Must hold in every world.</t>
  </si>
  <si>
    <t xml:space="preserve">Comparison MORE</t>
  </si>
  <si>
    <t xml:space="preserve">WIN iff x &gt; L ; TIE iff x = L ; else LOSS</t>
  </si>
  <si>
    <t xml:space="preserve">DECISION</t>
  </si>
  <si>
    <t xml:space="preserve">PUSH_ON_EXACT.</t>
  </si>
  <si>
    <t xml:space="preserve">Comparison LESS</t>
  </si>
  <si>
    <t xml:space="preserve">WIN iff x &lt; L ; TIE iff x = L ; else LOSS</t>
  </si>
  <si>
    <t xml:space="preserve">LB score</t>
  </si>
  <si>
    <t xml:space="preserve">S = Σ_j q_j · I(R_j = WIN)</t>
  </si>
  <si>
    <t xml:space="preserve">SCORE</t>
  </si>
  <si>
    <t xml:space="preserve">q ∈ {1.05, 1.00, 0.95}.</t>
  </si>
  <si>
    <t xml:space="preserve">LB split</t>
  </si>
  <si>
    <t xml:space="preserve">R_LB = L / T if S_u = max S, else 0</t>
  </si>
  <si>
    <t xml:space="preserve">PAYOUT</t>
  </si>
  <si>
    <t xml:space="preserve">T = number of tied top scorers. Split among winners only.</t>
  </si>
  <si>
    <t xml:space="preserve">LB IID helper</t>
  </si>
  <si>
    <t xml:space="preserve">E[R_LB | s] = L·((q+p)^n − q^n) / (n p)  if p&gt;0 else L·q^{n−1}</t>
  </si>
  <si>
    <t xml:space="preserve">RESEARCH_ONLY</t>
  </si>
  <si>
    <t xml:space="preserve">p=P(opp=s), q=P(opp&lt;s), n=group size. Do not use in production EV.</t>
  </si>
  <si>
    <t xml:space="preserve">R_final = max(R_LB, R_MG)</t>
  </si>
  <si>
    <t xml:space="preserve">Not a sum.</t>
  </si>
  <si>
    <t xml:space="preserve">MC SE</t>
  </si>
  <si>
    <t xml:space="preserve">SE(p̂) = sqrt[p̂(1−p̂)/M]</t>
  </si>
  <si>
    <t xml:space="preserve">DIAGNOSTIC</t>
  </si>
  <si>
    <t xml:space="preserve">Monte Carlo error is not model certainty.</t>
  </si>
  <si>
    <t xml:space="preserve">BlockPlan J(L)</t>
  </si>
  <si>
    <t xml:space="preserve">w_C|cov−(1−α)| + w_T|typeI−α| + w_W width + w_F fail</t>
  </si>
  <si>
    <t xml:space="preserve">RESEARCH</t>
  </si>
  <si>
    <t xml:space="preserve">Training-only. Politis–White is a candidate center, not a theorem.</t>
  </si>
  <si>
    <t xml:space="preserve">Live identity check (edit yellow inputs)</t>
  </si>
  <si>
    <t xml:space="preserve">Input</t>
  </si>
  <si>
    <t xml:space="preserve">Value</t>
  </si>
  <si>
    <t xml:space="preserve">Meaning</t>
  </si>
  <si>
    <t xml:space="preserve">pass_att</t>
  </si>
  <si>
    <t xml:space="preserve">QB pass attempts</t>
  </si>
  <si>
    <t xml:space="preserve">sacks_taken</t>
  </si>
  <si>
    <t xml:space="preserve">sacks</t>
  </si>
  <si>
    <t xml:space="preserve">scramble_att</t>
  </si>
  <si>
    <t xml:space="preserve">scrambles</t>
  </si>
  <si>
    <t xml:space="preserve">designed_rush_att</t>
  </si>
  <si>
    <t xml:space="preserve">team designed rushes</t>
  </si>
  <si>
    <t xml:space="preserve">team_pass_yds</t>
  </si>
  <si>
    <t xml:space="preserve">gross pass yards</t>
  </si>
  <si>
    <t xml:space="preserve">team_rec_yds</t>
  </si>
  <si>
    <t xml:space="preserve">sum of receiving yards</t>
  </si>
  <si>
    <t xml:space="preserve">Computed</t>
  </si>
  <si>
    <t xml:space="preserve">Result</t>
  </si>
  <si>
    <t xml:space="preserve">dropbacks</t>
  </si>
  <si>
    <t xml:space="preserve">pass_att + sacks + scramble</t>
  </si>
  <si>
    <t xml:space="preserve">team_rush_att</t>
  </si>
  <si>
    <t xml:space="preserve">designed + scramble</t>
  </si>
  <si>
    <t xml:space="preserve">team_off_plays</t>
  </si>
  <si>
    <t xml:space="preserve">pass + rush + sacks</t>
  </si>
  <si>
    <t xml:space="preserve">plays vs dropbacks+designed</t>
  </si>
  <si>
    <t xml:space="preserve">should equal C45</t>
  </si>
  <si>
    <t xml:space="preserve">pass_rec_reconcile_ok</t>
  </si>
  <si>
    <t xml:space="preserve">abs(pass_yds − rec_yds) &lt; 1e-9</t>
  </si>
  <si>
    <t xml:space="preserve">plays_identity_ok</t>
  </si>
  <si>
    <t xml:space="preserve">C45 = C46</t>
  </si>
  <si>
    <t xml:space="preserve">Worked 6-pick example — editable</t>
  </si>
  <si>
    <t xml:space="preserve">Blue / yellow cells are inputs. Black cells are Excel formulas. This uses the fixture MG table amounts, NOT a live PrizePicks display.</t>
  </si>
  <si>
    <t xml:space="preserve">Change wins, removals, ties, LB modeled flag, group ties. Accounting and max(LB,MG) recalculate.</t>
  </si>
  <si>
    <t xml:space="preserve">CONTRACT INPUTS (edit)</t>
  </si>
  <si>
    <t xml:space="preserve">DERIVED COUNTS (formulas)</t>
  </si>
  <si>
    <t xml:space="preserve">Stake ($)</t>
  </si>
  <si>
    <t xml:space="preserve">Active picks</t>
  </si>
  <si>
    <t xml:space="preserve">Displayed LB payout L ($)</t>
  </si>
  <si>
    <t xml:space="preserve">Losses among remaining</t>
  </si>
  <si>
    <t xml:space="preserve">Original pick count N</t>
  </si>
  <si>
    <t xml:space="preserve">Eligibility population</t>
  </si>
  <si>
    <t xml:space="preserve">Admin removed (DNP+Reboot)</t>
  </si>
  <si>
    <t xml:space="preserve">Payout tier count</t>
  </si>
  <si>
    <t xml:space="preserve">Ties among remaining</t>
  </si>
  <si>
    <t xml:space="preserve">Accounting_ok (active partition)</t>
  </si>
  <si>
    <t xml:space="preserve">Wins among remaining</t>
  </si>
  <si>
    <t xml:space="preserve">Same-team refund?</t>
  </si>
  <si>
    <t xml:space="preserve">LB modeled? (1=yes)</t>
  </si>
  <si>
    <t xml:space="preserve">Empty after removal?</t>
  </si>
  <si>
    <t xml:space="preserve">User is top or tied-top? (1=yes)</t>
  </si>
  <si>
    <t xml:space="preserve">Tied top scorers T</t>
  </si>
  <si>
    <t xml:space="preserve">Remaining teams distinct</t>
  </si>
  <si>
    <t xml:space="preserve">FIXTURE MG TABLE (captured companion — not live PrizePicks)</t>
  </si>
  <si>
    <t xml:space="preserve">PAYOUT RESOLUTION</t>
  </si>
  <si>
    <t xml:space="preserve">Tier</t>
  </si>
  <si>
    <t xml:space="preserve">Wins</t>
  </si>
  <si>
    <t xml:space="preserve">MG $</t>
  </si>
  <si>
    <t xml:space="preserve">MG lookup</t>
  </si>
  <si>
    <t xml:space="preserve">LB return</t>
  </si>
  <si>
    <t xml:space="preserve">LB status</t>
  </si>
  <si>
    <t xml:space="preserve">Refund override</t>
  </si>
  <si>
    <t xml:space="preserve">Net</t>
  </si>
  <si>
    <t xml:space="preserve">Payout&gt;0?</t>
  </si>
  <si>
    <t xml:space="preserve">Net&gt;0?</t>
  </si>
  <si>
    <t xml:space="preserve">Default scenario check</t>
  </si>
  <si>
    <t xml:space="preserve">Default read: N=6, 1 Reboot, 4 wins, 0 ties, LB unmodeled, 2 remaining teams → active=5, MG row (5,4)=$10, R_final=$10, net=$0, payout&gt;0 YES, net&gt;0 NO. That is the point of the last two flags. Flip B12 to 1 and B13 to 1 with T=1 to see max(125, 10)=125.</t>
  </si>
  <si>
    <t xml:space="preserve">Design and thought process</t>
  </si>
  <si>
    <t xml:space="preserve">Recommendations come from doctrine first, official pages second, convenience never.</t>
  </si>
  <si>
    <t xml:space="preserve">If a change would make testing easier by weakening an invariant, the change is wrong.</t>
  </si>
  <si>
    <t xml:space="preserve">Choice</t>
  </si>
  <si>
    <t xml:space="preserve">Why</t>
  </si>
  <si>
    <t xml:space="preserve">Rejected alternative</t>
  </si>
  <si>
    <t xml:space="preserve">Standalone package, not a fake v5 patch</t>
  </si>
  <si>
    <t xml:space="preserve">The canonical tree was absent. Pretending to have applied a patch would violate the hash-lineage doctrine.</t>
  </si>
  <si>
    <t xml:space="preserve">Silently reconstruct v5.4.1 from memory.</t>
  </si>
  <si>
    <t xml:space="preserve">One football plugin for NFL + CFB physics</t>
  </si>
  <si>
    <t xml:space="preserve">Dropbacks, sacks, targets, and dual-threat accounting are the same sport structure. Platform authority is league-keyed.</t>
  </si>
  <si>
    <t xml:space="preserve">Fork the ledger schema per league.</t>
  </si>
  <si>
    <t xml:space="preserve">CFB reboot requires an explicit player list</t>
  </si>
  <si>
    <t xml:space="preserve">Official page literally publishes a named list and scopes games to the Playoff. Blueprint already forbade a CFB event-phase shortcut.</t>
  </si>
  <si>
    <t xml:space="preserve">Copy NFL reboot onto every CFB board.</t>
  </si>
  <si>
    <t xml:space="preserve">UNRESOLVED rather than guessed eligible</t>
  </si>
  <si>
    <t xml:space="preserve">Unknown state is explicit. A wrong reboot is wrong money.</t>
  </si>
  <si>
    <t xml:space="preserve">Default-eligible if the player 'looks like a starter'.</t>
  </si>
  <si>
    <t xml:space="preserve">K/P path before stat allowlist</t>
  </si>
  <si>
    <t xml:space="preserve">Official K/P rule is role-and-attempt driven. Gating it behind fg_made eligibility hid the specialist path (caught in tests).</t>
  </si>
  <si>
    <t xml:space="preserve">Treat K/P as just another offensive stat.</t>
  </si>
  <si>
    <t xml:space="preserve">Exclude created_at from content_hash</t>
  </si>
  <si>
    <t xml:space="preserve">A replay with the same payload must hash the same. Timestamps are metadata, not content.</t>
  </si>
  <si>
    <t xml:space="preserve">Hash the wall clock.</t>
  </si>
  <si>
    <t xml:space="preserve">Two card counts</t>
  </si>
  <si>
    <t xml:space="preserve">Official text: ties do not create same-team ineligibility; DNP/Reboot do. One effective_pick_count cannot express both.</t>
  </si>
  <si>
    <t xml:space="preserve">effective = N − voids.</t>
  </si>
  <si>
    <t xml:space="preserve">max(LB, MG), not sum</t>
  </si>
  <si>
    <t xml:space="preserve">Potential Outcomes page 2026-08-24: receive whichever is higher; payouts do not stack.</t>
  </si>
  <si>
    <t xml:space="preserve">Add Leaderboard on top of Flex.</t>
  </si>
  <si>
    <t xml:space="preserve">LB UNMODELED without group data</t>
  </si>
  <si>
    <t xml:space="preserve">Cannot know T or whether S_u is max S. Inventing opponents is a false EV.</t>
  </si>
  <si>
    <t xml:space="preserve">Assume you always win the group at published 12.5x.</t>
  </si>
  <si>
    <t xml:space="preserve">Politis–White is a candidate center</t>
  </si>
  <si>
    <t xml:space="preserve">L* optimal for long-run variance is not proven optimal for BEL coverage. BlockPlan must be trained pre-outcome.</t>
  </si>
  <si>
    <t xml:space="preserve">Hard-code L = n^(1/3) as production law.</t>
  </si>
  <si>
    <t xml:space="preserve">Appearance atom first-class in payload, not schema</t>
  </si>
  <si>
    <t xml:space="preserve">PA / snap / possession / ball / hole must plug into OpportunityState. New common types need an impossibility proof.</t>
  </si>
  <si>
    <t xml:space="preserve">Add PitchAppearance as a frozen schema class for baseball.</t>
  </si>
  <si>
    <t xml:space="preserve">Basketball fixture, not basketball rewrite</t>
  </si>
  <si>
    <t xml:space="preserve">Settlement adapter must be sport-agnostic. Rewriting LIVE basketball would reopen a closed gate.</t>
  </si>
  <si>
    <t xml:space="preserve">Reimplement NBA primitives 'while we are here'.</t>
  </si>
  <si>
    <t xml:space="preserve">Recommended changes — ranked</t>
  </si>
  <si>
    <t xml:space="preserve">Only Workstream A/B follow-ons. No DPMM, no GPLVM, no 15-sport build-out.</t>
  </si>
  <si>
    <t xml:space="preserve">IMPLEMENT NOW means encode official predicates already retrieved. RESEARCH FIRST stays research.</t>
  </si>
  <si>
    <t xml:space="preserve">Rank</t>
  </si>
  <si>
    <t xml:space="preserve">Change</t>
  </si>
  <si>
    <t xml:space="preserve">Class</t>
  </si>
  <si>
    <t xml:space="preserve">Risk if skipped</t>
  </si>
  <si>
    <t xml:space="preserve">Acceptance test</t>
  </si>
  <si>
    <t xml:space="preserve">Add game_phase and board_id to CFB/NFL reboot evaluator</t>
  </si>
  <si>
    <t xml:space="preserve">IMPLEMENT NOW</t>
  </si>
  <si>
    <t xml:space="preserve">Regular-season CFB would be illegally rebooted</t>
  </si>
  <si>
    <t xml:space="preserve">Regular CFB + listed player + 1H exit → ACTIVE (no reboot). CFP + listed + 1H exit → REBOOT.</t>
  </si>
  <si>
    <t xml:space="preserve">Replace fixture CFB IDs with hashed official qualifying list + URL + as-of stamp</t>
  </si>
  <si>
    <t xml:space="preserve">False UNRESOLVED or false REBOOT on live names</t>
  </si>
  <si>
    <t xml:space="preserve">Jeremiah Smith in snapshot + CFP → eligible. Random FBS WR → reboot inapplicable.</t>
  </si>
  <si>
    <t xml:space="preserve">Require left_first_half and no_second_half_return</t>
  </si>
  <si>
    <t xml:space="preserve">3Q injury would be treated as a reboot</t>
  </si>
  <si>
    <t xml:space="preserve">Leave in 3Q, no return → ACTIVE. Leave 1H, play 2H → ACTIVE. Leave 1H, no 2H → REBOOT.</t>
  </si>
  <si>
    <t xml:space="preserve">4</t>
  </si>
  <si>
    <t xml:space="preserve">Reject partial boards (1H/1Q/SZN/NFLP) for reboot</t>
  </si>
  <si>
    <t xml:space="preserve">Half-board MORE would be protected</t>
  </si>
  <si>
    <t xml:space="preserve">board=NFL_1H → LESS_NOT equivalent ACTIVE, reason PARTIAL_BOARD.</t>
  </si>
  <si>
    <t xml:space="preserve">5</t>
  </si>
  <si>
    <t xml:space="preserve">Combo-square member OR</t>
  </si>
  <si>
    <t xml:space="preserve">IMPLEMENT NEXT</t>
  </si>
  <si>
    <t xml:space="preserve">Official combo language ignored</t>
  </si>
  <si>
    <t xml:space="preserve">Two-player rec combo reboots if either member qualifies.</t>
  </si>
  <si>
    <t xml:space="preserve">6</t>
  </si>
  <si>
    <t xml:space="preserve">Same-player stack 0.95 LB override</t>
  </si>
  <si>
    <t xml:space="preserve">Overstated Leaderboard score</t>
  </si>
  <si>
    <t xml:space="preserve">Two winning picks same player_id → 0.95+0.95 not 1.00+1.00.</t>
  </si>
  <si>
    <t xml:space="preserve">7</t>
  </si>
  <si>
    <t xml:space="preserve">Encode 2-pick DNP/Reboot refund as a rule row</t>
  </si>
  <si>
    <t xml:space="preserve">Depends on MG table completeness</t>
  </si>
  <si>
    <t xml:space="preserve">N=2, removed=1 → REFUND regardless of MG hash contents.</t>
  </si>
  <si>
    <t xml:space="preserve">8</t>
  </si>
  <si>
    <t xml:space="preserve">Attach real v5.4.1 tree and re-hash</t>
  </si>
  <si>
    <t xml:space="preserve">GATING</t>
  </si>
  <si>
    <t xml:space="preserve">Cannot claim baseline lineage</t>
  </si>
  <si>
    <t xml:space="preserve">sha256 matches bd1fb433… and schema file matches 6e78dacc….</t>
  </si>
  <si>
    <t xml:space="preserve">9</t>
  </si>
  <si>
    <t xml:space="preserve">MLB PA engine</t>
  </si>
  <si>
    <t xml:space="preserve">AFTER FOOTBALL E2E GAPS CLOSE</t>
  </si>
  <si>
    <t xml:space="preserve">Scope explosion</t>
  </si>
  <si>
    <t xml:space="preserve">See ADR. Do not start until items 1–4 are green.</t>
  </si>
  <si>
    <t xml:space="preserve">10</t>
  </si>
  <si>
    <t xml:space="preserve">Block-length coverage tournament</t>
  </si>
  <si>
    <t xml:space="preserve">RESEARCH FIRST</t>
  </si>
  <si>
    <t xml:space="preserve">None for this slice</t>
  </si>
  <si>
    <t xml:space="preserve">No production BEL promotion from this workbook.</t>
  </si>
  <si>
    <t xml:space="preserve">DO NOT</t>
  </si>
  <si>
    <t xml:space="preserve">Do not copy NFL reboot onto CFB regular season or bowls.</t>
  </si>
  <si>
    <t xml:space="preserve">Do not treat the 44-name list as eternal. Re-snapshot each Playoff window.</t>
  </si>
  <si>
    <t xml:space="preserve">Do not infer L from published 6-pick 12.5x examples.</t>
  </si>
  <si>
    <t xml:space="preserve">Do not collapse DNP/Reboot/Tie.</t>
  </si>
  <si>
    <t xml:space="preserve">Do not select Goblins.</t>
  </si>
  <si>
    <t xml:space="preserve">Do not bump LR000000 because this workbook exists.</t>
  </si>
  <si>
    <t xml:space="preserve">Do not put NGS separation or exit velocity into PrimitiveStatLedger.</t>
  </si>
  <si>
    <t xml:space="preserve">Code map — what to open</t>
  </si>
  <si>
    <t xml:space="preserve">Package root: artifacts/dcm_v6_workstream_ab</t>
  </si>
  <si>
    <t xml:space="preserve">Tests: PYTHONPATH=. python3 -m pytest tests -q   → 41 passed / 0 failed / 0 skipped on 2026-08-27</t>
  </si>
  <si>
    <t xml:space="preserve">Module</t>
  </si>
  <si>
    <t xml:space="preserve">Entry point</t>
  </si>
  <si>
    <t xml:space="preserve">Contract object</t>
  </si>
  <si>
    <t xml:space="preserve">dcm/sports/football/registry.py</t>
  </si>
  <si>
    <t xml:space="preserve">football_stat_reboot_eligibility</t>
  </si>
  <si>
    <t xml:space="preserve">MarketDefinition + eligibility enum</t>
  </si>
  <si>
    <t xml:space="preserve">dcm/sports/football/conservation.py</t>
  </si>
  <si>
    <t xml:space="preserve">evaluate_football_conservation</t>
  </si>
  <si>
    <t xml:space="preserve">ConservationRule / InvariantResult</t>
  </si>
  <si>
    <t xml:space="preserve">dcm/sports/football/appearance.py</t>
  </si>
  <si>
    <t xml:space="preserve">appearance_process_for</t>
  </si>
  <si>
    <t xml:space="preserve">Opportunity payload</t>
  </si>
  <si>
    <t xml:space="preserve">dcm/sports/football/opportunity.py</t>
  </si>
  <si>
    <t xml:space="preserve">TeamOpportunityPool</t>
  </si>
  <si>
    <t xml:space="preserve">OpportunityState</t>
  </si>
  <si>
    <t xml:space="preserve">dcm/sports/football/efficiency.py</t>
  </si>
  <si>
    <t xml:space="preserve">apply_efficiency</t>
  </si>
  <si>
    <t xml:space="preserve">EfficiencyState</t>
  </si>
  <si>
    <t xml:space="preserve">dcm/sports/football/ledger.py</t>
  </si>
  <si>
    <t xml:space="preserve">build_football_world</t>
  </si>
  <si>
    <t xml:space="preserve">EventWorld + PrimitiveStatLedger</t>
  </si>
  <si>
    <t xml:space="preserve">dcm/sports/football/projection.py</t>
  </si>
  <si>
    <t xml:space="preserve">project_football_market</t>
  </si>
  <si>
    <t xml:space="preserve">WorldProjectionResult</t>
  </si>
  <si>
    <t xml:space="preserve">dcm/sports/basketball/minimal.py</t>
  </si>
  <si>
    <t xml:space="preserve">build_basketball_world</t>
  </si>
  <si>
    <t xml:space="preserve">E2E fixture only</t>
  </si>
  <si>
    <t xml:space="preserve">dcm/platform/prizepicks/entry_contract.py</t>
  </si>
  <si>
    <t xml:space="preserve">build_entry_contract</t>
  </si>
  <si>
    <t xml:space="preserve">dcm/platform/prizepicks/reboot.py</t>
  </si>
  <si>
    <t xml:space="preserve">evaluate_reboot</t>
  </si>
  <si>
    <t xml:space="preserve">dcm/platform/prizepicks/settlement.py</t>
  </si>
  <si>
    <t xml:space="preserve">WorldLineupOutcome</t>
  </si>
  <si>
    <t xml:space="preserve">dcm/platform/prizepicks/payouts.py</t>
  </si>
  <si>
    <t xml:space="preserve">minimum_guarantee_return</t>
  </si>
  <si>
    <t xml:space="preserve">captured MG table hash</t>
  </si>
  <si>
    <t xml:space="preserve">dcm/selection/eligibility.py</t>
  </si>
  <si>
    <t xml:space="preserve">reject_goblin_selection</t>
  </si>
  <si>
    <t xml:space="preserve">GOBLIN_SELECTION_FORBIDDEN</t>
  </si>
  <si>
    <t xml:space="preserve">dcm/runtime/pipeline.py</t>
  </si>
  <si>
    <t xml:space="preserve">project_and_settle</t>
  </si>
  <si>
    <t xml:space="preserve">end-to-end call</t>
  </si>
  <si>
    <t xml:space="preserve">configs/cfb_player_reboot_eligible.json</t>
  </si>
  <si>
    <t xml:space="preserve">fixture list</t>
  </si>
  <si>
    <t xml:space="preserve">MUST be replaced before live CFB</t>
  </si>
  <si>
    <t xml:space="preserve">Sources and authority</t>
  </si>
  <si>
    <t xml:space="preserve">Official pages outrank commentary. Commentary outranks memory. Memory outranks nothing.</t>
  </si>
  <si>
    <t xml:space="preserve">Retrieved 2026-08-27.</t>
  </si>
  <si>
    <t xml:space="preserve">Source</t>
  </si>
  <si>
    <t xml:space="preserve">Date</t>
  </si>
  <si>
    <t xml:space="preserve">Used for</t>
  </si>
  <si>
    <t xml:space="preserve">https://www.prizepicks.com/reboots</t>
  </si>
  <si>
    <t xml:space="preserve">OFFICIAL</t>
  </si>
  <si>
    <t xml:space="preserve">page retrieved 2026-08-27</t>
  </si>
  <si>
    <t xml:space="preserve">NFL + CFB reboot predicates, Playoff-only CFB, named qualifying list, K/P, defense exclusion, combo language, already-hit MORE.</t>
  </si>
  <si>
    <t xml:space="preserve">https://www.prizepicks.com/help-center/dnps-reboots-and-ties</t>
  </si>
  <si>
    <t xml:space="preserve">updated 2026-08-11</t>
  </si>
  <si>
    <t xml:space="preserve">DNP vs Reboot vs Tie, same-team refund, 2-pick refund, LESS not rebooted explanation.</t>
  </si>
  <si>
    <t xml:space="preserve">https://www.prizepicks.com/help-center/potential-outcomes</t>
  </si>
  <si>
    <t xml:space="preserve">updated 2026-08-24</t>
  </si>
  <si>
    <t xml:space="preserve">Leaderboard weights, max(LB,MG), tie split L/T, published example multipliers (validation only).</t>
  </si>
  <si>
    <t xml:space="preserve">https://www.prizepicks.com/playbook-article/how-to-play-prizepicks-nfl-fantasy-scoring-system</t>
  </si>
  <si>
    <t xml:space="preserve">OFFICIAL-ADJACENT</t>
  </si>
  <si>
    <t xml:space="preserve">2026-08-25</t>
  </si>
  <si>
    <t xml:space="preserve">NFL DNP snap language, fantasy PLATFORM_SCORE ingredients, reboot-as-tier-drop summary.</t>
  </si>
  <si>
    <t xml:space="preserve">PrizeSupport @ X 2025-12-16</t>
  </si>
  <si>
    <t xml:space="preserve">OFFICIAL HISTORICAL</t>
  </si>
  <si>
    <t xml:space="preserve">2025-12-16</t>
  </si>
  <si>
    <t xml:space="preserve">Prior CFB wording: CFP only, all offensive players + K/P. Current page is a named list. Do not mix eras silently.</t>
  </si>
  <si>
    <t xml:space="preserve">DCM v6 Master Blueprint 2026-08-27</t>
  </si>
  <si>
    <t xml:space="preserve">INTERNAL CONTRACT</t>
  </si>
  <si>
    <t xml:space="preserve">2026-08-27</t>
  </si>
  <si>
    <t xml:space="preserve">Schema freeze, hash lineage, fail-closed codes, build order.</t>
  </si>
  <si>
    <t xml:space="preserve">ADR-V6-001</t>
  </si>
  <si>
    <t xml:space="preserve">INTERNAL DECISION</t>
  </si>
  <si>
    <t xml:space="preserve">IMPLEMENT NOW slice, CFB registry-gated settlement, NFLP fail-closed.</t>
  </si>
  <si>
    <t xml:space="preserve">dcm_v6_workstream_ab tests</t>
  </si>
  <si>
    <t xml:space="preserve">ENGINEERING EVIDENCE</t>
  </si>
  <si>
    <t xml:space="preserve">41 passed. Proves encoded snapshot, not live PrizePicks.</t>
  </si>
  <si>
    <t xml:space="preserve">ats.io / rotogrinders / CBS recap pages</t>
  </si>
  <si>
    <t xml:space="preserve">COMMENTARY</t>
  </si>
  <si>
    <t xml:space="preserve">various 2026</t>
  </si>
  <si>
    <t xml:space="preserve">Not used as settlement authority. Cited only to show how easy it is to overgeneralize CFB.</t>
  </si>
  <si>
    <t xml:space="preserve">Citation practice: when a live settlement disagrees with this workbook, trust the live official page and cut a new snapshot version. Do not silently edit PRIZEPICKS_PLAYER_PICKS_2026-08-25_V1. Version the rules.</t>
  </si>
</sst>
</file>

<file path=xl/styles.xml><?xml version="1.0" encoding="utf-8"?>
<styleSheet xmlns="http://schemas.openxmlformats.org/spreadsheetml/2006/main">
  <numFmts count="2">
    <numFmt numFmtId="164" formatCode="General"/>
    <numFmt numFmtId="165" formatCode="General"/>
  </numFmts>
  <fonts count="20">
    <font>
      <sz val="11"/>
      <color theme="1"/>
      <name val="Calibri"/>
      <family val="2"/>
      <charset val="1"/>
    </font>
    <font>
      <sz val="10"/>
      <name val="Arial"/>
      <family val="0"/>
    </font>
    <font>
      <sz val="10"/>
      <name val="Arial"/>
      <family val="0"/>
    </font>
    <font>
      <sz val="10"/>
      <name val="Arial"/>
      <family val="0"/>
    </font>
    <font>
      <b val="true"/>
      <sz val="18"/>
      <color rgb="FF1B365D"/>
      <name val="Arial"/>
      <family val="0"/>
      <charset val="1"/>
    </font>
    <font>
      <i val="true"/>
      <sz val="11"/>
      <color rgb="FF2C4A6E"/>
      <name val="Arial"/>
      <family val="0"/>
      <charset val="1"/>
    </font>
    <font>
      <sz val="9"/>
      <color rgb="FF5A6570"/>
      <name val="Arial"/>
      <family val="0"/>
      <charset val="1"/>
    </font>
    <font>
      <b val="true"/>
      <sz val="10"/>
      <color rgb="FFFFFFFF"/>
      <name val="Arial"/>
      <family val="0"/>
      <charset val="1"/>
    </font>
    <font>
      <sz val="11"/>
      <color rgb="FF222222"/>
      <name val="Arial"/>
      <family val="0"/>
      <charset val="1"/>
    </font>
    <font>
      <i val="true"/>
      <sz val="11"/>
      <color rgb="FF7A4F00"/>
      <name val="Arial"/>
      <family val="0"/>
      <charset val="1"/>
    </font>
    <font>
      <b val="true"/>
      <sz val="11"/>
      <color rgb="FF7A1F1F"/>
      <name val="Arial"/>
      <family val="0"/>
      <charset val="1"/>
    </font>
    <font>
      <b val="true"/>
      <sz val="11"/>
      <color rgb="FF1B5E3B"/>
      <name val="Arial"/>
      <family val="0"/>
      <charset val="1"/>
    </font>
    <font>
      <b val="true"/>
      <sz val="11"/>
      <color rgb="FF7A4F00"/>
      <name val="Arial"/>
      <family val="0"/>
      <charset val="1"/>
    </font>
    <font>
      <b val="true"/>
      <sz val="11"/>
      <color rgb="FF1B365D"/>
      <name val="Arial"/>
      <family val="0"/>
      <charset val="1"/>
    </font>
    <font>
      <b val="true"/>
      <sz val="11"/>
      <color rgb="FFFFFFFF"/>
      <name val="Arial"/>
      <family val="0"/>
      <charset val="1"/>
    </font>
    <font>
      <b val="true"/>
      <sz val="11"/>
      <color rgb="FF222222"/>
      <name val="Arial"/>
      <family val="0"/>
      <charset val="1"/>
    </font>
    <font>
      <b val="true"/>
      <sz val="11"/>
      <color rgb="FF2C4A6E"/>
      <name val="Arial"/>
      <family val="0"/>
      <charset val="1"/>
    </font>
    <font>
      <sz val="11"/>
      <color rgb="FF0000FF"/>
      <name val="Arial"/>
      <family val="0"/>
      <charset val="1"/>
    </font>
    <font>
      <i val="true"/>
      <sz val="11"/>
      <color rgb="FF222222"/>
      <name val="Arial"/>
      <family val="0"/>
      <charset val="1"/>
    </font>
    <font>
      <sz val="11"/>
      <color rgb="FF7A1F1F"/>
      <name val="Arial"/>
      <family val="0"/>
      <charset val="1"/>
    </font>
  </fonts>
  <fills count="14">
    <fill>
      <patternFill patternType="none"/>
    </fill>
    <fill>
      <patternFill patternType="gray125"/>
    </fill>
    <fill>
      <patternFill patternType="solid">
        <fgColor rgb="FF1B365D"/>
        <bgColor rgb="FF1F4E5F"/>
      </patternFill>
    </fill>
    <fill>
      <patternFill patternType="solid">
        <fgColor rgb="FFFFFFFF"/>
        <bgColor rgb="FFF4F7FA"/>
      </patternFill>
    </fill>
    <fill>
      <patternFill patternType="solid">
        <fgColor rgb="FFF4F7FA"/>
        <bgColor rgb="FFFFFFFF"/>
      </patternFill>
    </fill>
    <fill>
      <patternFill patternType="solid">
        <fgColor rgb="FFF8F1E4"/>
        <bgColor rgb="FFF6E8E8"/>
      </patternFill>
    </fill>
    <fill>
      <patternFill patternType="solid">
        <fgColor rgb="FFF6E8E8"/>
        <bgColor rgb="FFF8F1E4"/>
      </patternFill>
    </fill>
    <fill>
      <patternFill patternType="solid">
        <fgColor rgb="FFE7F3EC"/>
        <bgColor rgb="FFE8EEF4"/>
      </patternFill>
    </fill>
    <fill>
      <patternFill patternType="solid">
        <fgColor rgb="FFE8EEF4"/>
        <bgColor rgb="FFE7F3EC"/>
      </patternFill>
    </fill>
    <fill>
      <patternFill patternType="solid">
        <fgColor rgb="FFFFF3B0"/>
        <bgColor rgb="FFF8F1E4"/>
      </patternFill>
    </fill>
    <fill>
      <patternFill patternType="solid">
        <fgColor rgb="FF2C4A6E"/>
        <bgColor rgb="FF1F4E5F"/>
      </patternFill>
    </fill>
    <fill>
      <patternFill patternType="solid">
        <fgColor rgb="FF7A4F00"/>
        <bgColor rgb="FF8A6D3B"/>
      </patternFill>
    </fill>
    <fill>
      <patternFill patternType="solid">
        <fgColor rgb="FF1B5E3B"/>
        <bgColor rgb="FF1F4E5F"/>
      </patternFill>
    </fill>
    <fill>
      <patternFill patternType="solid">
        <fgColor rgb="FF7A1F1F"/>
        <bgColor rgb="FF800000"/>
      </patternFill>
    </fill>
  </fills>
  <borders count="4">
    <border diagonalUp="false" diagonalDown="false">
      <left/>
      <right/>
      <top/>
      <bottom/>
      <diagonal/>
    </border>
    <border diagonalUp="false" diagonalDown="false">
      <left style="thin">
        <color rgb="FFC5CDD6"/>
      </left>
      <right style="thin">
        <color rgb="FFC5CDD6"/>
      </right>
      <top style="thin">
        <color rgb="FFC5CDD6"/>
      </top>
      <bottom style="thin">
        <color rgb="FFC5CDD6"/>
      </bottom>
      <diagonal/>
    </border>
    <border diagonalUp="false" diagonalDown="false">
      <left style="thin">
        <color rgb="FFC5CDD6"/>
      </left>
      <right/>
      <top style="thin">
        <color rgb="FFC5CDD6"/>
      </top>
      <bottom/>
      <diagonal/>
    </border>
    <border diagonalUp="false" diagonalDown="false">
      <left style="thin">
        <color rgb="FFC5CDD6"/>
      </left>
      <right/>
      <top style="thin">
        <color rgb="FFC5CDD6"/>
      </top>
      <bottom style="thin">
        <color rgb="FFC5CD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5" borderId="2" xfId="0" applyFont="true" applyBorder="true" applyAlignment="true" applyProtection="false">
      <alignment horizontal="general" vertical="top" textRotation="0" wrapText="true" indent="0" shrinkToFit="false"/>
      <protection locked="true" hidden="false"/>
    </xf>
    <xf numFmtId="164" fontId="10" fillId="6" borderId="2"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3" fillId="8" borderId="1" xfId="0" applyFont="true" applyBorder="true" applyAlignment="true" applyProtection="false">
      <alignment horizontal="general" vertical="top" textRotation="0" wrapText="true" indent="0" shrinkToFit="false"/>
      <protection locked="true" hidden="false"/>
    </xf>
    <xf numFmtId="164" fontId="8" fillId="8" borderId="2"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general" vertical="top" textRotation="0" wrapText="true" indent="0" shrinkToFit="false"/>
      <protection locked="true" hidden="false"/>
    </xf>
    <xf numFmtId="164" fontId="15" fillId="8" borderId="1" xfId="0" applyFont="true" applyBorder="true" applyAlignment="true" applyProtection="false">
      <alignment horizontal="general" vertical="top" textRotation="0" wrapText="true" indent="0" shrinkToFit="false"/>
      <protection locked="true" hidden="false"/>
    </xf>
    <xf numFmtId="164" fontId="16" fillId="8"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17" fillId="9" borderId="1" xfId="0" applyFont="true" applyBorder="true" applyAlignment="true" applyProtection="false">
      <alignment horizontal="general" vertical="top" textRotation="0" wrapText="true" indent="0" shrinkToFit="false"/>
      <protection locked="true" hidden="false"/>
    </xf>
    <xf numFmtId="165" fontId="15" fillId="4" borderId="1" xfId="0" applyFont="true" applyBorder="true" applyAlignment="true" applyProtection="false">
      <alignment horizontal="general" vertical="top" textRotation="0" wrapText="true" indent="0" shrinkToFit="false"/>
      <protection locked="true" hidden="false"/>
    </xf>
    <xf numFmtId="165" fontId="15" fillId="3" borderId="1" xfId="0" applyFont="true" applyBorder="true" applyAlignment="true" applyProtection="false">
      <alignment horizontal="general" vertical="top" textRotation="0" wrapText="true" indent="0" shrinkToFit="false"/>
      <protection locked="true" hidden="false"/>
    </xf>
    <xf numFmtId="164" fontId="14" fillId="10" borderId="1" xfId="0" applyFont="true" applyBorder="true" applyAlignment="true" applyProtection="false">
      <alignment horizontal="general" vertical="top" textRotation="0" wrapText="true" indent="0" shrinkToFit="false"/>
      <protection locked="true" hidden="false"/>
    </xf>
    <xf numFmtId="164" fontId="14" fillId="11" borderId="1" xfId="0" applyFont="true" applyBorder="true" applyAlignment="true" applyProtection="false">
      <alignment horizontal="general" vertical="top" textRotation="0" wrapText="true" indent="0" shrinkToFit="false"/>
      <protection locked="true" hidden="false"/>
    </xf>
    <xf numFmtId="164" fontId="14" fillId="12"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5" fontId="15" fillId="7" borderId="1" xfId="0" applyFont="true" applyBorder="true" applyAlignment="true" applyProtection="false">
      <alignment horizontal="general" vertical="top"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4" fillId="13" borderId="1" xfId="0" applyFont="true" applyBorder="true" applyAlignment="true" applyProtection="false">
      <alignment horizontal="general" vertical="top" textRotation="0" wrapText="true" indent="0" shrinkToFit="false"/>
      <protection locked="true" hidden="false"/>
    </xf>
    <xf numFmtId="164" fontId="19" fillId="6" borderId="3"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B5E3B"/>
      <rgbColor rgb="FF000080"/>
      <rgbColor rgb="FF8A6D3B"/>
      <rgbColor rgb="FF800080"/>
      <rgbColor rgb="FF008080"/>
      <rgbColor rgb="FFC5CDD6"/>
      <rgbColor rgb="FF808080"/>
      <rgbColor rgb="FF9999FF"/>
      <rgbColor rgb="FF7A4F00"/>
      <rgbColor rgb="FFF8F1E4"/>
      <rgbColor rgb="FFE7F3EC"/>
      <rgbColor rgb="FF660066"/>
      <rgbColor rgb="FFFF8080"/>
      <rgbColor rgb="FF0066CC"/>
      <rgbColor rgb="FFF6E8E8"/>
      <rgbColor rgb="FF000080"/>
      <rgbColor rgb="FFFF00FF"/>
      <rgbColor rgb="FFFFFF00"/>
      <rgbColor rgb="FF00FFFF"/>
      <rgbColor rgb="FF800080"/>
      <rgbColor rgb="FF800000"/>
      <rgbColor rgb="FF008080"/>
      <rgbColor rgb="FF0000FF"/>
      <rgbColor rgb="FF00CCFF"/>
      <rgbColor rgb="FFE8EEF4"/>
      <rgbColor rgb="FFF4F7FA"/>
      <rgbColor rgb="FFFFF3B0"/>
      <rgbColor rgb="FF99CCFF"/>
      <rgbColor rgb="FFFF99CC"/>
      <rgbColor rgb="FFCC99FF"/>
      <rgbColor rgb="FFFFCC99"/>
      <rgbColor rgb="FF3366FF"/>
      <rgbColor rgb="FF33CCCC"/>
      <rgbColor rgb="FF99CC00"/>
      <rgbColor rgb="FFFFCC00"/>
      <rgbColor rgb="FFFF9900"/>
      <rgbColor rgb="FFFF6600"/>
      <rgbColor rgb="FF5A6570"/>
      <rgbColor rgb="FF969696"/>
      <rgbColor rgb="FF1B365D"/>
      <rgbColor rgb="FF2E7D32"/>
      <rgbColor rgb="FF003300"/>
      <rgbColor rgb="FF1F4E5F"/>
      <rgbColor rgb="FF7A1F1F"/>
      <rgbColor rgb="FF993366"/>
      <rgbColor rgb="FF2C4A6E"/>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65D"/>
    <pageSetUpPr fitToPage="true"/>
  </sheetPr>
  <dimension ref="A1:H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7" min="2" style="0" width="22"/>
    <col collapsed="false" customWidth="true" hidden="false" outlineLevel="0" max="8" min="8" style="0" width="40"/>
  </cols>
  <sheetData>
    <row r="1" customFormat="false" ht="24"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15" hidden="false" customHeight="false" outlineLevel="0" collapsed="false">
      <c r="A3" s="3" t="s">
        <v>2</v>
      </c>
      <c r="B3" s="3"/>
      <c r="C3" s="3"/>
      <c r="D3" s="3"/>
      <c r="E3" s="3"/>
      <c r="F3" s="3"/>
      <c r="G3" s="3"/>
      <c r="H3" s="3"/>
    </row>
    <row r="5" customFormat="false" ht="15" hidden="false" customHeight="false" outlineLevel="0" collapsed="false">
      <c r="A5" s="4" t="s">
        <v>3</v>
      </c>
      <c r="B5" s="4" t="s">
        <v>4</v>
      </c>
    </row>
    <row r="6" customFormat="false" ht="21.75" hidden="false" customHeight="true" outlineLevel="0" collapsed="false">
      <c r="A6" s="5" t="s">
        <v>5</v>
      </c>
      <c r="B6" s="5" t="s">
        <v>6</v>
      </c>
    </row>
    <row r="7" customFormat="false" ht="36" hidden="false" customHeight="true" outlineLevel="0" collapsed="false">
      <c r="A7" s="6" t="s">
        <v>7</v>
      </c>
      <c r="B7" s="6" t="s">
        <v>8</v>
      </c>
    </row>
    <row r="8" customFormat="false" ht="21.75" hidden="false" customHeight="true" outlineLevel="0" collapsed="false">
      <c r="A8" s="5" t="s">
        <v>9</v>
      </c>
      <c r="B8" s="5" t="s">
        <v>10</v>
      </c>
    </row>
    <row r="9" customFormat="false" ht="21.75" hidden="false" customHeight="true" outlineLevel="0" collapsed="false">
      <c r="A9" s="6" t="s">
        <v>11</v>
      </c>
      <c r="B9" s="6" t="s">
        <v>12</v>
      </c>
    </row>
    <row r="10" customFormat="false" ht="21.75" hidden="false" customHeight="true" outlineLevel="0" collapsed="false">
      <c r="A10" s="5" t="s">
        <v>13</v>
      </c>
      <c r="B10" s="5" t="s">
        <v>14</v>
      </c>
    </row>
    <row r="11" customFormat="false" ht="21.75" hidden="false" customHeight="true" outlineLevel="0" collapsed="false">
      <c r="A11" s="6" t="s">
        <v>15</v>
      </c>
      <c r="B11" s="6" t="s">
        <v>16</v>
      </c>
    </row>
    <row r="12" customFormat="false" ht="36" hidden="false" customHeight="true" outlineLevel="0" collapsed="false">
      <c r="A12" s="5" t="s">
        <v>17</v>
      </c>
      <c r="B12" s="5" t="s">
        <v>18</v>
      </c>
    </row>
    <row r="13" customFormat="false" ht="21.75" hidden="false" customHeight="true" outlineLevel="0" collapsed="false">
      <c r="A13" s="6" t="s">
        <v>19</v>
      </c>
      <c r="B13" s="6" t="s">
        <v>20</v>
      </c>
    </row>
    <row r="14" customFormat="false" ht="21.75" hidden="false" customHeight="true" outlineLevel="0" collapsed="false">
      <c r="A14" s="5" t="s">
        <v>21</v>
      </c>
      <c r="B14" s="5" t="s">
        <v>22</v>
      </c>
    </row>
    <row r="15" customFormat="false" ht="21.75" hidden="false" customHeight="true" outlineLevel="0" collapsed="false">
      <c r="A15" s="6" t="s">
        <v>23</v>
      </c>
      <c r="B15" s="6" t="s">
        <v>24</v>
      </c>
    </row>
    <row r="16" customFormat="false" ht="21.75" hidden="false" customHeight="true" outlineLevel="0" collapsed="false">
      <c r="A16" s="5" t="s">
        <v>25</v>
      </c>
      <c r="B16" s="5" t="s">
        <v>26</v>
      </c>
    </row>
    <row r="17" customFormat="false" ht="21.75" hidden="false" customHeight="true" outlineLevel="0" collapsed="false">
      <c r="A17" s="6" t="s">
        <v>27</v>
      </c>
      <c r="B17" s="6" t="s">
        <v>28</v>
      </c>
    </row>
    <row r="19" customFormat="false" ht="72" hidden="false" customHeight="true" outlineLevel="0" collapsed="false">
      <c r="A19" s="7" t="s">
        <v>29</v>
      </c>
      <c r="B19" s="7"/>
      <c r="C19" s="7"/>
      <c r="D19" s="7"/>
      <c r="E19" s="7"/>
      <c r="F19" s="7"/>
      <c r="G19" s="7"/>
      <c r="H19" s="7"/>
    </row>
    <row r="20" customFormat="false" ht="15" hidden="false" customHeight="false" outlineLevel="0" collapsed="false">
      <c r="A20" s="7"/>
      <c r="B20" s="7"/>
      <c r="C20" s="7"/>
      <c r="D20" s="7"/>
      <c r="E20" s="7"/>
      <c r="F20" s="7"/>
      <c r="G20" s="7"/>
      <c r="H20" s="7"/>
    </row>
    <row r="21" customFormat="false" ht="15" hidden="false" customHeight="false" outlineLevel="0" collapsed="false">
      <c r="A21" s="7"/>
      <c r="B21" s="7"/>
      <c r="C21" s="7"/>
      <c r="D21" s="7"/>
      <c r="E21" s="7"/>
      <c r="F21" s="7"/>
      <c r="G21" s="7"/>
      <c r="H21" s="7"/>
    </row>
    <row r="22" customFormat="false" ht="15" hidden="false" customHeight="false" outlineLevel="0" collapsed="false">
      <c r="A22" s="7"/>
      <c r="B22" s="7"/>
      <c r="C22" s="7"/>
      <c r="D22" s="7"/>
      <c r="E22" s="7"/>
      <c r="F22" s="7"/>
      <c r="G22" s="7"/>
      <c r="H22" s="7"/>
    </row>
  </sheetData>
  <mergeCells count="4">
    <mergeCell ref="A1:H1"/>
    <mergeCell ref="A2:H2"/>
    <mergeCell ref="A3:H3"/>
    <mergeCell ref="A19:H2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1F1F"/>
    <pageSetUpPr fitToPage="tru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55"/>
    <col collapsed="false" customWidth="true" hidden="false" outlineLevel="0" max="4" min="4" style="0" width="40"/>
  </cols>
  <sheetData>
    <row r="1" customFormat="false" ht="24" hidden="false" customHeight="true" outlineLevel="0" collapsed="false">
      <c r="A1" s="1" t="s">
        <v>30</v>
      </c>
      <c r="B1" s="1"/>
      <c r="C1" s="1"/>
      <c r="D1" s="1"/>
      <c r="E1" s="1"/>
      <c r="F1" s="1"/>
      <c r="G1" s="1"/>
      <c r="H1" s="1"/>
    </row>
    <row r="2" customFormat="false" ht="18" hidden="false" customHeight="true" outlineLevel="0" collapsed="false">
      <c r="A2" s="2" t="s">
        <v>31</v>
      </c>
      <c r="B2" s="2"/>
      <c r="C2" s="2"/>
      <c r="D2" s="2"/>
      <c r="E2" s="2"/>
      <c r="F2" s="2"/>
      <c r="G2" s="2"/>
      <c r="H2" s="2"/>
    </row>
    <row r="3" customFormat="false" ht="15" hidden="false" customHeight="false" outlineLevel="0" collapsed="false">
      <c r="A3" s="3" t="s">
        <v>32</v>
      </c>
      <c r="B3" s="3"/>
      <c r="C3" s="3"/>
      <c r="D3" s="3"/>
      <c r="E3" s="3"/>
      <c r="F3" s="3"/>
      <c r="G3" s="3"/>
      <c r="H3" s="3"/>
    </row>
    <row r="5" customFormat="false" ht="23.85" hidden="false" customHeight="false" outlineLevel="0" collapsed="false">
      <c r="A5" s="4" t="s">
        <v>33</v>
      </c>
      <c r="B5" s="4" t="s">
        <v>34</v>
      </c>
      <c r="C5" s="4" t="s">
        <v>35</v>
      </c>
      <c r="D5" s="4" t="s">
        <v>36</v>
      </c>
    </row>
    <row r="6" customFormat="false" ht="36" hidden="false" customHeight="true" outlineLevel="0" collapsed="false">
      <c r="A6" s="5" t="s">
        <v>37</v>
      </c>
      <c r="B6" s="5" t="s">
        <v>38</v>
      </c>
      <c r="C6" s="5" t="s">
        <v>39</v>
      </c>
      <c r="D6" s="5" t="s">
        <v>40</v>
      </c>
    </row>
    <row r="7" customFormat="false" ht="36" hidden="false" customHeight="true" outlineLevel="0" collapsed="false">
      <c r="A7" s="6" t="s">
        <v>41</v>
      </c>
      <c r="B7" s="6" t="s">
        <v>42</v>
      </c>
      <c r="C7" s="6" t="s">
        <v>43</v>
      </c>
      <c r="D7" s="6" t="s">
        <v>44</v>
      </c>
    </row>
    <row r="8" customFormat="false" ht="36" hidden="false" customHeight="true" outlineLevel="0" collapsed="false">
      <c r="A8" s="5" t="s">
        <v>45</v>
      </c>
      <c r="B8" s="5" t="s">
        <v>38</v>
      </c>
      <c r="C8" s="5" t="s">
        <v>46</v>
      </c>
      <c r="D8" s="5" t="s">
        <v>47</v>
      </c>
    </row>
    <row r="9" customFormat="false" ht="36" hidden="false" customHeight="true" outlineLevel="0" collapsed="false">
      <c r="A9" s="6" t="s">
        <v>48</v>
      </c>
      <c r="B9" s="6" t="s">
        <v>38</v>
      </c>
      <c r="C9" s="6" t="s">
        <v>49</v>
      </c>
      <c r="D9" s="6" t="s">
        <v>50</v>
      </c>
    </row>
    <row r="10" customFormat="false" ht="36" hidden="false" customHeight="true" outlineLevel="0" collapsed="false">
      <c r="A10" s="5" t="s">
        <v>51</v>
      </c>
      <c r="B10" s="5" t="s">
        <v>52</v>
      </c>
      <c r="C10" s="5" t="s">
        <v>53</v>
      </c>
      <c r="D10" s="5" t="s">
        <v>54</v>
      </c>
    </row>
    <row r="11" customFormat="false" ht="36" hidden="false" customHeight="true" outlineLevel="0" collapsed="false">
      <c r="A11" s="6" t="s">
        <v>55</v>
      </c>
      <c r="B11" s="6" t="s">
        <v>56</v>
      </c>
      <c r="C11" s="6" t="s">
        <v>57</v>
      </c>
      <c r="D11" s="6" t="s">
        <v>58</v>
      </c>
    </row>
    <row r="12" customFormat="false" ht="36" hidden="false" customHeight="true" outlineLevel="0" collapsed="false">
      <c r="A12" s="5" t="s">
        <v>59</v>
      </c>
      <c r="B12" s="5" t="s">
        <v>38</v>
      </c>
      <c r="C12" s="5" t="s">
        <v>60</v>
      </c>
      <c r="D12" s="5" t="s">
        <v>61</v>
      </c>
    </row>
    <row r="13" customFormat="false" ht="36" hidden="false" customHeight="true" outlineLevel="0" collapsed="false">
      <c r="A13" s="6" t="s">
        <v>62</v>
      </c>
      <c r="B13" s="6" t="s">
        <v>38</v>
      </c>
      <c r="C13" s="6" t="s">
        <v>63</v>
      </c>
      <c r="D13" s="6" t="s">
        <v>64</v>
      </c>
    </row>
    <row r="14" customFormat="false" ht="36" hidden="false" customHeight="true" outlineLevel="0" collapsed="false">
      <c r="A14" s="5" t="s">
        <v>65</v>
      </c>
      <c r="B14" s="5" t="s">
        <v>38</v>
      </c>
      <c r="C14" s="5" t="s">
        <v>66</v>
      </c>
      <c r="D14" s="5" t="s">
        <v>67</v>
      </c>
    </row>
    <row r="15" customFormat="false" ht="36" hidden="false" customHeight="true" outlineLevel="0" collapsed="false">
      <c r="A15" s="6" t="s">
        <v>68</v>
      </c>
      <c r="B15" s="6" t="s">
        <v>38</v>
      </c>
      <c r="C15" s="6" t="s">
        <v>69</v>
      </c>
      <c r="D15" s="6" t="s">
        <v>70</v>
      </c>
    </row>
    <row r="16" customFormat="false" ht="36" hidden="false" customHeight="true" outlineLevel="0" collapsed="false">
      <c r="A16" s="5" t="s">
        <v>71</v>
      </c>
      <c r="B16" s="5" t="s">
        <v>38</v>
      </c>
      <c r="C16" s="5" t="s">
        <v>72</v>
      </c>
      <c r="D16" s="5" t="s">
        <v>73</v>
      </c>
    </row>
    <row r="17" customFormat="false" ht="21.75" hidden="false" customHeight="true" outlineLevel="0" collapsed="false">
      <c r="A17" s="6" t="s">
        <v>74</v>
      </c>
      <c r="B17" s="6" t="s">
        <v>38</v>
      </c>
      <c r="C17" s="6" t="s">
        <v>75</v>
      </c>
      <c r="D17" s="6" t="s">
        <v>76</v>
      </c>
    </row>
    <row r="18" customFormat="false" ht="36" hidden="false" customHeight="true" outlineLevel="0" collapsed="false">
      <c r="A18" s="5" t="s">
        <v>77</v>
      </c>
      <c r="B18" s="5" t="s">
        <v>38</v>
      </c>
      <c r="C18" s="5" t="s">
        <v>78</v>
      </c>
      <c r="D18" s="5" t="s">
        <v>79</v>
      </c>
    </row>
    <row r="19" customFormat="false" ht="36" hidden="false" customHeight="true" outlineLevel="0" collapsed="false">
      <c r="A19" s="6" t="s">
        <v>80</v>
      </c>
      <c r="B19" s="6" t="s">
        <v>38</v>
      </c>
      <c r="C19" s="6" t="s">
        <v>81</v>
      </c>
      <c r="D19" s="6" t="s">
        <v>82</v>
      </c>
    </row>
    <row r="21" customFormat="false" ht="48" hidden="false" customHeight="true" outlineLevel="0" collapsed="false">
      <c r="A21" s="8" t="s">
        <v>83</v>
      </c>
      <c r="B21" s="8"/>
      <c r="C21" s="8"/>
      <c r="D21" s="8"/>
    </row>
    <row r="22" customFormat="false" ht="15" hidden="false" customHeight="false" outlineLevel="0" collapsed="false">
      <c r="A22" s="8"/>
      <c r="B22" s="8"/>
      <c r="C22" s="8"/>
      <c r="D22" s="8"/>
    </row>
    <row r="23" customFormat="false" ht="15" hidden="false" customHeight="false" outlineLevel="0" collapsed="false">
      <c r="A23" s="8"/>
      <c r="B23" s="8"/>
      <c r="C23" s="8"/>
      <c r="D23" s="8"/>
    </row>
  </sheetData>
  <mergeCells count="4">
    <mergeCell ref="A1:H1"/>
    <mergeCell ref="A2:H2"/>
    <mergeCell ref="A3:H3"/>
    <mergeCell ref="A21:D23"/>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F00"/>
    <pageSetUpPr fitToPage="true"/>
  </sheetPr>
  <dimension ref="A1:H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42"/>
    <col collapsed="false" customWidth="true" hidden="false" outlineLevel="0" max="4" min="4" style="0" width="22"/>
  </cols>
  <sheetData>
    <row r="1" customFormat="false" ht="24" hidden="false" customHeight="true" outlineLevel="0" collapsed="false">
      <c r="A1" s="1" t="s">
        <v>84</v>
      </c>
      <c r="B1" s="1"/>
      <c r="C1" s="1"/>
      <c r="D1" s="1"/>
      <c r="E1" s="1"/>
      <c r="F1" s="1"/>
      <c r="G1" s="1"/>
      <c r="H1" s="1"/>
    </row>
    <row r="2" customFormat="false" ht="18" hidden="false" customHeight="true" outlineLevel="0" collapsed="false">
      <c r="A2" s="2" t="s">
        <v>85</v>
      </c>
      <c r="B2" s="2"/>
      <c r="C2" s="2"/>
      <c r="D2" s="2"/>
      <c r="E2" s="2"/>
      <c r="F2" s="2"/>
      <c r="G2" s="2"/>
      <c r="H2" s="2"/>
    </row>
    <row r="3" customFormat="false" ht="15" hidden="false" customHeight="false" outlineLevel="0" collapsed="false">
      <c r="A3" s="3" t="s">
        <v>86</v>
      </c>
      <c r="B3" s="3"/>
      <c r="C3" s="3"/>
      <c r="D3" s="3"/>
      <c r="E3" s="3"/>
      <c r="F3" s="3"/>
      <c r="G3" s="3"/>
      <c r="H3" s="3"/>
    </row>
    <row r="5" customFormat="false" ht="15" hidden="false" customHeight="false" outlineLevel="0" collapsed="false">
      <c r="A5" s="4" t="s">
        <v>87</v>
      </c>
      <c r="B5" s="4" t="s">
        <v>88</v>
      </c>
      <c r="C5" s="4" t="s">
        <v>89</v>
      </c>
      <c r="D5" s="4" t="s">
        <v>90</v>
      </c>
    </row>
    <row r="6" customFormat="false" ht="36" hidden="false" customHeight="true" outlineLevel="0" collapsed="false">
      <c r="A6" s="5" t="s">
        <v>91</v>
      </c>
      <c r="B6" s="5" t="s">
        <v>92</v>
      </c>
      <c r="C6" s="5" t="s">
        <v>93</v>
      </c>
      <c r="D6" s="9" t="s">
        <v>94</v>
      </c>
    </row>
    <row r="7" customFormat="false" ht="21.75" hidden="false" customHeight="true" outlineLevel="0" collapsed="false">
      <c r="A7" s="6" t="s">
        <v>95</v>
      </c>
      <c r="B7" s="6" t="s">
        <v>96</v>
      </c>
      <c r="C7" s="6" t="s">
        <v>97</v>
      </c>
      <c r="D7" s="9" t="s">
        <v>94</v>
      </c>
    </row>
    <row r="8" customFormat="false" ht="36" hidden="false" customHeight="true" outlineLevel="0" collapsed="false">
      <c r="A8" s="5" t="s">
        <v>98</v>
      </c>
      <c r="B8" s="5" t="s">
        <v>99</v>
      </c>
      <c r="C8" s="5" t="s">
        <v>100</v>
      </c>
      <c r="D8" s="10" t="s">
        <v>101</v>
      </c>
    </row>
    <row r="9" customFormat="false" ht="21.75" hidden="false" customHeight="true" outlineLevel="0" collapsed="false">
      <c r="A9" s="6" t="s">
        <v>102</v>
      </c>
      <c r="B9" s="6" t="s">
        <v>103</v>
      </c>
      <c r="C9" s="6" t="s">
        <v>104</v>
      </c>
      <c r="D9" s="11" t="s">
        <v>105</v>
      </c>
    </row>
    <row r="10" customFormat="false" ht="36" hidden="false" customHeight="true" outlineLevel="0" collapsed="false">
      <c r="A10" s="5" t="s">
        <v>106</v>
      </c>
      <c r="B10" s="5" t="s">
        <v>107</v>
      </c>
      <c r="C10" s="5" t="s">
        <v>108</v>
      </c>
      <c r="D10" s="11" t="s">
        <v>105</v>
      </c>
    </row>
    <row r="11" customFormat="false" ht="36" hidden="false" customHeight="true" outlineLevel="0" collapsed="false">
      <c r="A11" s="6" t="s">
        <v>109</v>
      </c>
      <c r="B11" s="6" t="s">
        <v>110</v>
      </c>
      <c r="C11" s="6" t="s">
        <v>111</v>
      </c>
      <c r="D11" s="11" t="s">
        <v>105</v>
      </c>
    </row>
    <row r="12" customFormat="false" ht="21.75" hidden="false" customHeight="true" outlineLevel="0" collapsed="false">
      <c r="A12" s="5" t="s">
        <v>112</v>
      </c>
      <c r="B12" s="5" t="s">
        <v>113</v>
      </c>
      <c r="C12" s="5" t="s">
        <v>114</v>
      </c>
      <c r="D12" s="9" t="s">
        <v>94</v>
      </c>
    </row>
    <row r="13" customFormat="false" ht="36" hidden="false" customHeight="true" outlineLevel="0" collapsed="false">
      <c r="A13" s="6" t="s">
        <v>115</v>
      </c>
      <c r="B13" s="6" t="s">
        <v>116</v>
      </c>
      <c r="C13" s="6" t="s">
        <v>117</v>
      </c>
      <c r="D13" s="10" t="s">
        <v>101</v>
      </c>
    </row>
    <row r="14" customFormat="false" ht="36" hidden="false" customHeight="true" outlineLevel="0" collapsed="false">
      <c r="A14" s="5" t="s">
        <v>118</v>
      </c>
      <c r="B14" s="5" t="s">
        <v>119</v>
      </c>
      <c r="C14" s="5" t="s">
        <v>120</v>
      </c>
      <c r="D14" s="11" t="s">
        <v>42</v>
      </c>
    </row>
    <row r="15" customFormat="false" ht="36" hidden="false" customHeight="true" outlineLevel="0" collapsed="false">
      <c r="A15" s="6" t="s">
        <v>121</v>
      </c>
      <c r="B15" s="6" t="s">
        <v>122</v>
      </c>
      <c r="C15" s="6" t="s">
        <v>123</v>
      </c>
      <c r="D15" s="9" t="s">
        <v>124</v>
      </c>
    </row>
    <row r="16" customFormat="false" ht="36" hidden="false" customHeight="true" outlineLevel="0" collapsed="false">
      <c r="A16" s="5" t="s">
        <v>125</v>
      </c>
      <c r="B16" s="5" t="s">
        <v>126</v>
      </c>
      <c r="C16" s="5" t="s">
        <v>127</v>
      </c>
      <c r="D16" s="11" t="s">
        <v>128</v>
      </c>
    </row>
    <row r="17" customFormat="false" ht="36" hidden="false" customHeight="true" outlineLevel="0" collapsed="false">
      <c r="A17" s="6" t="s">
        <v>129</v>
      </c>
      <c r="B17" s="6" t="s">
        <v>130</v>
      </c>
      <c r="C17" s="6" t="s">
        <v>131</v>
      </c>
      <c r="D17" s="11" t="s">
        <v>128</v>
      </c>
    </row>
    <row r="19" customFormat="false" ht="15" hidden="false" customHeight="true" outlineLevel="0" collapsed="false">
      <c r="A19" s="12" t="s">
        <v>132</v>
      </c>
      <c r="B19" s="12"/>
      <c r="C19" s="12"/>
      <c r="D19" s="12"/>
    </row>
    <row r="20" customFormat="false" ht="90" hidden="false" customHeight="true" outlineLevel="0" collapsed="false">
      <c r="A20" s="13" t="s">
        <v>133</v>
      </c>
      <c r="B20" s="13"/>
      <c r="C20" s="13"/>
      <c r="D20" s="13"/>
    </row>
    <row r="21" customFormat="false" ht="15" hidden="false" customHeight="false" outlineLevel="0" collapsed="false">
      <c r="A21" s="13"/>
      <c r="B21" s="13"/>
      <c r="C21" s="13"/>
      <c r="D21" s="13"/>
    </row>
    <row r="22" customFormat="false" ht="15" hidden="false" customHeight="false" outlineLevel="0" collapsed="false">
      <c r="A22" s="13"/>
      <c r="B22" s="13"/>
      <c r="C22" s="13"/>
      <c r="D22" s="13"/>
    </row>
    <row r="23" customFormat="false" ht="15" hidden="false" customHeight="false" outlineLevel="0" collapsed="false">
      <c r="A23" s="13"/>
      <c r="B23" s="13"/>
      <c r="C23" s="13"/>
      <c r="D23" s="13"/>
    </row>
    <row r="25" customFormat="false" ht="15" hidden="false" customHeight="true" outlineLevel="0" collapsed="false">
      <c r="A25" s="14" t="s">
        <v>134</v>
      </c>
      <c r="B25" s="14"/>
      <c r="C25" s="14"/>
      <c r="D25" s="14"/>
    </row>
    <row r="26" customFormat="false" ht="15" hidden="false" customHeight="false" outlineLevel="0" collapsed="false">
      <c r="A26" s="4" t="s">
        <v>135</v>
      </c>
      <c r="B26" s="4" t="s">
        <v>136</v>
      </c>
      <c r="C26" s="4" t="s">
        <v>137</v>
      </c>
      <c r="D26" s="4" t="s">
        <v>138</v>
      </c>
    </row>
    <row r="27" customFormat="false" ht="52.2" hidden="false" customHeight="false" outlineLevel="0" collapsed="false">
      <c r="A27" s="5" t="n">
        <v>1</v>
      </c>
      <c r="B27" s="5" t="s">
        <v>139</v>
      </c>
      <c r="C27" s="5" t="s">
        <v>38</v>
      </c>
      <c r="D27" s="5" t="s">
        <v>140</v>
      </c>
    </row>
    <row r="28" customFormat="false" ht="52.2" hidden="false" customHeight="false" outlineLevel="0" collapsed="false">
      <c r="A28" s="6" t="n">
        <v>2</v>
      </c>
      <c r="B28" s="6" t="s">
        <v>141</v>
      </c>
      <c r="C28" s="6" t="s">
        <v>38</v>
      </c>
      <c r="D28" s="6" t="s">
        <v>140</v>
      </c>
    </row>
    <row r="29" customFormat="false" ht="52.2" hidden="false" customHeight="false" outlineLevel="0" collapsed="false">
      <c r="A29" s="5" t="n">
        <v>3</v>
      </c>
      <c r="B29" s="5" t="s">
        <v>142</v>
      </c>
      <c r="C29" s="5" t="s">
        <v>38</v>
      </c>
      <c r="D29" s="5" t="s">
        <v>140</v>
      </c>
    </row>
    <row r="30" customFormat="false" ht="52.2" hidden="false" customHeight="false" outlineLevel="0" collapsed="false">
      <c r="A30" s="6" t="n">
        <v>4</v>
      </c>
      <c r="B30" s="6" t="s">
        <v>143</v>
      </c>
      <c r="C30" s="6" t="s">
        <v>38</v>
      </c>
      <c r="D30" s="6" t="s">
        <v>140</v>
      </c>
    </row>
    <row r="31" customFormat="false" ht="52.2" hidden="false" customHeight="false" outlineLevel="0" collapsed="false">
      <c r="A31" s="5" t="n">
        <v>5</v>
      </c>
      <c r="B31" s="5" t="s">
        <v>144</v>
      </c>
      <c r="C31" s="5" t="s">
        <v>38</v>
      </c>
      <c r="D31" s="5" t="s">
        <v>140</v>
      </c>
    </row>
    <row r="32" customFormat="false" ht="52.2" hidden="false" customHeight="false" outlineLevel="0" collapsed="false">
      <c r="A32" s="6" t="n">
        <v>6</v>
      </c>
      <c r="B32" s="6" t="s">
        <v>145</v>
      </c>
      <c r="C32" s="6" t="s">
        <v>38</v>
      </c>
      <c r="D32" s="6" t="s">
        <v>140</v>
      </c>
    </row>
    <row r="33" customFormat="false" ht="52.2" hidden="false" customHeight="false" outlineLevel="0" collapsed="false">
      <c r="A33" s="5" t="n">
        <v>7</v>
      </c>
      <c r="B33" s="5" t="s">
        <v>146</v>
      </c>
      <c r="C33" s="5" t="s">
        <v>38</v>
      </c>
      <c r="D33" s="5" t="s">
        <v>140</v>
      </c>
    </row>
    <row r="34" customFormat="false" ht="52.2" hidden="false" customHeight="false" outlineLevel="0" collapsed="false">
      <c r="A34" s="6" t="n">
        <v>8</v>
      </c>
      <c r="B34" s="6" t="s">
        <v>147</v>
      </c>
      <c r="C34" s="6" t="s">
        <v>38</v>
      </c>
      <c r="D34" s="6" t="s">
        <v>140</v>
      </c>
    </row>
    <row r="35" customFormat="false" ht="52.2" hidden="false" customHeight="false" outlineLevel="0" collapsed="false">
      <c r="A35" s="5" t="n">
        <v>9</v>
      </c>
      <c r="B35" s="5" t="s">
        <v>148</v>
      </c>
      <c r="C35" s="5" t="s">
        <v>38</v>
      </c>
      <c r="D35" s="5" t="s">
        <v>140</v>
      </c>
    </row>
    <row r="36" customFormat="false" ht="52.2" hidden="false" customHeight="false" outlineLevel="0" collapsed="false">
      <c r="A36" s="6" t="n">
        <v>10</v>
      </c>
      <c r="B36" s="6" t="s">
        <v>149</v>
      </c>
      <c r="C36" s="6" t="s">
        <v>38</v>
      </c>
      <c r="D36" s="6" t="s">
        <v>140</v>
      </c>
    </row>
    <row r="37" customFormat="false" ht="52.2" hidden="false" customHeight="false" outlineLevel="0" collapsed="false">
      <c r="A37" s="5" t="n">
        <v>11</v>
      </c>
      <c r="B37" s="5" t="s">
        <v>150</v>
      </c>
      <c r="C37" s="5" t="s">
        <v>38</v>
      </c>
      <c r="D37" s="5" t="s">
        <v>140</v>
      </c>
    </row>
    <row r="38" customFormat="false" ht="52.2" hidden="false" customHeight="false" outlineLevel="0" collapsed="false">
      <c r="A38" s="6" t="n">
        <v>12</v>
      </c>
      <c r="B38" s="6" t="s">
        <v>151</v>
      </c>
      <c r="C38" s="6" t="s">
        <v>38</v>
      </c>
      <c r="D38" s="6" t="s">
        <v>140</v>
      </c>
    </row>
    <row r="39" customFormat="false" ht="52.2" hidden="false" customHeight="false" outlineLevel="0" collapsed="false">
      <c r="A39" s="5" t="n">
        <v>13</v>
      </c>
      <c r="B39" s="5" t="s">
        <v>152</v>
      </c>
      <c r="C39" s="5" t="s">
        <v>38</v>
      </c>
      <c r="D39" s="5" t="s">
        <v>140</v>
      </c>
    </row>
    <row r="40" customFormat="false" ht="52.2" hidden="false" customHeight="false" outlineLevel="0" collapsed="false">
      <c r="A40" s="6" t="n">
        <v>14</v>
      </c>
      <c r="B40" s="6" t="s">
        <v>153</v>
      </c>
      <c r="C40" s="6" t="s">
        <v>38</v>
      </c>
      <c r="D40" s="6" t="s">
        <v>140</v>
      </c>
    </row>
    <row r="41" customFormat="false" ht="52.2" hidden="false" customHeight="false" outlineLevel="0" collapsed="false">
      <c r="A41" s="5" t="n">
        <v>15</v>
      </c>
      <c r="B41" s="5" t="s">
        <v>154</v>
      </c>
      <c r="C41" s="5" t="s">
        <v>38</v>
      </c>
      <c r="D41" s="5" t="s">
        <v>140</v>
      </c>
    </row>
    <row r="42" customFormat="false" ht="52.2" hidden="false" customHeight="false" outlineLevel="0" collapsed="false">
      <c r="A42" s="6" t="n">
        <v>16</v>
      </c>
      <c r="B42" s="6" t="s">
        <v>155</v>
      </c>
      <c r="C42" s="6" t="s">
        <v>38</v>
      </c>
      <c r="D42" s="6" t="s">
        <v>140</v>
      </c>
    </row>
    <row r="43" customFormat="false" ht="52.2" hidden="false" customHeight="false" outlineLevel="0" collapsed="false">
      <c r="A43" s="5" t="n">
        <v>17</v>
      </c>
      <c r="B43" s="5" t="s">
        <v>156</v>
      </c>
      <c r="C43" s="5" t="s">
        <v>38</v>
      </c>
      <c r="D43" s="5" t="s">
        <v>140</v>
      </c>
    </row>
    <row r="44" customFormat="false" ht="52.2" hidden="false" customHeight="false" outlineLevel="0" collapsed="false">
      <c r="A44" s="6" t="n">
        <v>18</v>
      </c>
      <c r="B44" s="6" t="s">
        <v>157</v>
      </c>
      <c r="C44" s="6" t="s">
        <v>38</v>
      </c>
      <c r="D44" s="6" t="s">
        <v>140</v>
      </c>
    </row>
    <row r="45" customFormat="false" ht="52.2" hidden="false" customHeight="false" outlineLevel="0" collapsed="false">
      <c r="A45" s="5" t="n">
        <v>19</v>
      </c>
      <c r="B45" s="5" t="s">
        <v>158</v>
      </c>
      <c r="C45" s="5" t="s">
        <v>38</v>
      </c>
      <c r="D45" s="5" t="s">
        <v>140</v>
      </c>
    </row>
    <row r="46" customFormat="false" ht="52.2" hidden="false" customHeight="false" outlineLevel="0" collapsed="false">
      <c r="A46" s="6" t="n">
        <v>20</v>
      </c>
      <c r="B46" s="6" t="s">
        <v>159</v>
      </c>
      <c r="C46" s="6" t="s">
        <v>38</v>
      </c>
      <c r="D46" s="6" t="s">
        <v>140</v>
      </c>
    </row>
    <row r="47" customFormat="false" ht="52.2" hidden="false" customHeight="false" outlineLevel="0" collapsed="false">
      <c r="A47" s="5" t="n">
        <v>21</v>
      </c>
      <c r="B47" s="5" t="s">
        <v>160</v>
      </c>
      <c r="C47" s="5" t="s">
        <v>38</v>
      </c>
      <c r="D47" s="5" t="s">
        <v>140</v>
      </c>
    </row>
    <row r="48" customFormat="false" ht="52.2" hidden="false" customHeight="false" outlineLevel="0" collapsed="false">
      <c r="A48" s="6" t="n">
        <v>22</v>
      </c>
      <c r="B48" s="6" t="s">
        <v>161</v>
      </c>
      <c r="C48" s="6" t="s">
        <v>38</v>
      </c>
      <c r="D48" s="6" t="s">
        <v>140</v>
      </c>
    </row>
    <row r="49" customFormat="false" ht="52.2" hidden="false" customHeight="false" outlineLevel="0" collapsed="false">
      <c r="A49" s="5" t="n">
        <v>23</v>
      </c>
      <c r="B49" s="5" t="s">
        <v>162</v>
      </c>
      <c r="C49" s="5" t="s">
        <v>38</v>
      </c>
      <c r="D49" s="5" t="s">
        <v>140</v>
      </c>
    </row>
    <row r="50" customFormat="false" ht="52.2" hidden="false" customHeight="false" outlineLevel="0" collapsed="false">
      <c r="A50" s="6" t="n">
        <v>24</v>
      </c>
      <c r="B50" s="6" t="s">
        <v>163</v>
      </c>
      <c r="C50" s="6" t="s">
        <v>38</v>
      </c>
      <c r="D50" s="6" t="s">
        <v>140</v>
      </c>
    </row>
    <row r="51" customFormat="false" ht="52.2" hidden="false" customHeight="false" outlineLevel="0" collapsed="false">
      <c r="A51" s="5" t="n">
        <v>25</v>
      </c>
      <c r="B51" s="5" t="s">
        <v>164</v>
      </c>
      <c r="C51" s="5" t="s">
        <v>38</v>
      </c>
      <c r="D51" s="5" t="s">
        <v>140</v>
      </c>
    </row>
    <row r="52" customFormat="false" ht="52.2" hidden="false" customHeight="false" outlineLevel="0" collapsed="false">
      <c r="A52" s="6" t="n">
        <v>26</v>
      </c>
      <c r="B52" s="6" t="s">
        <v>165</v>
      </c>
      <c r="C52" s="6" t="s">
        <v>38</v>
      </c>
      <c r="D52" s="6" t="s">
        <v>140</v>
      </c>
    </row>
    <row r="53" customFormat="false" ht="52.2" hidden="false" customHeight="false" outlineLevel="0" collapsed="false">
      <c r="A53" s="5" t="n">
        <v>27</v>
      </c>
      <c r="B53" s="5" t="s">
        <v>166</v>
      </c>
      <c r="C53" s="5" t="s">
        <v>38</v>
      </c>
      <c r="D53" s="5" t="s">
        <v>140</v>
      </c>
    </row>
    <row r="54" customFormat="false" ht="52.2" hidden="false" customHeight="false" outlineLevel="0" collapsed="false">
      <c r="A54" s="6" t="n">
        <v>28</v>
      </c>
      <c r="B54" s="6" t="s">
        <v>167</v>
      </c>
      <c r="C54" s="6" t="s">
        <v>38</v>
      </c>
      <c r="D54" s="6" t="s">
        <v>140</v>
      </c>
    </row>
    <row r="55" customFormat="false" ht="52.2" hidden="false" customHeight="false" outlineLevel="0" collapsed="false">
      <c r="A55" s="5" t="n">
        <v>29</v>
      </c>
      <c r="B55" s="5" t="s">
        <v>168</v>
      </c>
      <c r="C55" s="5" t="s">
        <v>38</v>
      </c>
      <c r="D55" s="5" t="s">
        <v>140</v>
      </c>
    </row>
    <row r="56" customFormat="false" ht="52.2" hidden="false" customHeight="false" outlineLevel="0" collapsed="false">
      <c r="A56" s="6" t="n">
        <v>30</v>
      </c>
      <c r="B56" s="6" t="s">
        <v>169</v>
      </c>
      <c r="C56" s="6" t="s">
        <v>38</v>
      </c>
      <c r="D56" s="6" t="s">
        <v>140</v>
      </c>
    </row>
    <row r="57" customFormat="false" ht="52.2" hidden="false" customHeight="false" outlineLevel="0" collapsed="false">
      <c r="A57" s="5" t="n">
        <v>31</v>
      </c>
      <c r="B57" s="5" t="s">
        <v>170</v>
      </c>
      <c r="C57" s="5" t="s">
        <v>38</v>
      </c>
      <c r="D57" s="5" t="s">
        <v>140</v>
      </c>
    </row>
    <row r="58" customFormat="false" ht="52.2" hidden="false" customHeight="false" outlineLevel="0" collapsed="false">
      <c r="A58" s="6" t="n">
        <v>32</v>
      </c>
      <c r="B58" s="6" t="s">
        <v>171</v>
      </c>
      <c r="C58" s="6" t="s">
        <v>38</v>
      </c>
      <c r="D58" s="6" t="s">
        <v>140</v>
      </c>
    </row>
    <row r="59" customFormat="false" ht="52.2" hidden="false" customHeight="false" outlineLevel="0" collapsed="false">
      <c r="A59" s="5" t="n">
        <v>33</v>
      </c>
      <c r="B59" s="5" t="s">
        <v>172</v>
      </c>
      <c r="C59" s="5" t="s">
        <v>38</v>
      </c>
      <c r="D59" s="5" t="s">
        <v>140</v>
      </c>
    </row>
    <row r="60" customFormat="false" ht="52.2" hidden="false" customHeight="false" outlineLevel="0" collapsed="false">
      <c r="A60" s="6" t="n">
        <v>34</v>
      </c>
      <c r="B60" s="6" t="s">
        <v>173</v>
      </c>
      <c r="C60" s="6" t="s">
        <v>38</v>
      </c>
      <c r="D60" s="6" t="s">
        <v>140</v>
      </c>
    </row>
    <row r="61" customFormat="false" ht="52.2" hidden="false" customHeight="false" outlineLevel="0" collapsed="false">
      <c r="A61" s="5" t="n">
        <v>35</v>
      </c>
      <c r="B61" s="5" t="s">
        <v>174</v>
      </c>
      <c r="C61" s="5" t="s">
        <v>38</v>
      </c>
      <c r="D61" s="5" t="s">
        <v>140</v>
      </c>
    </row>
    <row r="62" customFormat="false" ht="52.2" hidden="false" customHeight="false" outlineLevel="0" collapsed="false">
      <c r="A62" s="6" t="n">
        <v>36</v>
      </c>
      <c r="B62" s="6" t="s">
        <v>175</v>
      </c>
      <c r="C62" s="6" t="s">
        <v>38</v>
      </c>
      <c r="D62" s="6" t="s">
        <v>140</v>
      </c>
    </row>
    <row r="63" customFormat="false" ht="52.2" hidden="false" customHeight="false" outlineLevel="0" collapsed="false">
      <c r="A63" s="5" t="n">
        <v>37</v>
      </c>
      <c r="B63" s="5" t="s">
        <v>176</v>
      </c>
      <c r="C63" s="5" t="s">
        <v>38</v>
      </c>
      <c r="D63" s="5" t="s">
        <v>140</v>
      </c>
    </row>
    <row r="64" customFormat="false" ht="52.2" hidden="false" customHeight="false" outlineLevel="0" collapsed="false">
      <c r="A64" s="6" t="n">
        <v>38</v>
      </c>
      <c r="B64" s="6" t="s">
        <v>177</v>
      </c>
      <c r="C64" s="6" t="s">
        <v>38</v>
      </c>
      <c r="D64" s="6" t="s">
        <v>140</v>
      </c>
    </row>
    <row r="65" customFormat="false" ht="52.2" hidden="false" customHeight="false" outlineLevel="0" collapsed="false">
      <c r="A65" s="5" t="n">
        <v>39</v>
      </c>
      <c r="B65" s="5" t="s">
        <v>178</v>
      </c>
      <c r="C65" s="5" t="s">
        <v>38</v>
      </c>
      <c r="D65" s="5" t="s">
        <v>140</v>
      </c>
    </row>
    <row r="66" customFormat="false" ht="52.2" hidden="false" customHeight="false" outlineLevel="0" collapsed="false">
      <c r="A66" s="6" t="n">
        <v>40</v>
      </c>
      <c r="B66" s="6" t="s">
        <v>179</v>
      </c>
      <c r="C66" s="6" t="s">
        <v>38</v>
      </c>
      <c r="D66" s="6" t="s">
        <v>140</v>
      </c>
    </row>
    <row r="67" customFormat="false" ht="52.2" hidden="false" customHeight="false" outlineLevel="0" collapsed="false">
      <c r="A67" s="5" t="n">
        <v>41</v>
      </c>
      <c r="B67" s="5" t="s">
        <v>180</v>
      </c>
      <c r="C67" s="5" t="s">
        <v>38</v>
      </c>
      <c r="D67" s="5" t="s">
        <v>140</v>
      </c>
    </row>
    <row r="68" customFormat="false" ht="52.2" hidden="false" customHeight="false" outlineLevel="0" collapsed="false">
      <c r="A68" s="6" t="n">
        <v>42</v>
      </c>
      <c r="B68" s="6" t="s">
        <v>181</v>
      </c>
      <c r="C68" s="6" t="s">
        <v>38</v>
      </c>
      <c r="D68" s="6" t="s">
        <v>140</v>
      </c>
    </row>
    <row r="69" customFormat="false" ht="52.2" hidden="false" customHeight="false" outlineLevel="0" collapsed="false">
      <c r="A69" s="5" t="n">
        <v>43</v>
      </c>
      <c r="B69" s="5" t="s">
        <v>182</v>
      </c>
      <c r="C69" s="5" t="s">
        <v>38</v>
      </c>
      <c r="D69" s="5" t="s">
        <v>140</v>
      </c>
    </row>
    <row r="70" customFormat="false" ht="52.2" hidden="false" customHeight="false" outlineLevel="0" collapsed="false">
      <c r="A70" s="6" t="n">
        <v>44</v>
      </c>
      <c r="B70" s="6" t="s">
        <v>183</v>
      </c>
      <c r="C70" s="6" t="s">
        <v>38</v>
      </c>
      <c r="D70" s="6" t="s">
        <v>140</v>
      </c>
    </row>
    <row r="71" customFormat="false" ht="15" hidden="false" customHeight="false" outlineLevel="0" collapsed="false">
      <c r="A71" s="15" t="s">
        <v>184</v>
      </c>
      <c r="B71" s="15" t="n">
        <f aca="false">COUNTA(B27:B70)</f>
        <v>44</v>
      </c>
    </row>
  </sheetData>
  <mergeCells count="6">
    <mergeCell ref="A1:H1"/>
    <mergeCell ref="A2:H2"/>
    <mergeCell ref="A3:H3"/>
    <mergeCell ref="A19:D19"/>
    <mergeCell ref="A20:D23"/>
    <mergeCell ref="A25:D25"/>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4A6E"/>
    <pageSetUpPr fitToPage="tru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0"/>
    <col collapsed="false" customWidth="true" hidden="false" outlineLevel="0" max="3" min="3" style="0" width="40"/>
    <col collapsed="false" customWidth="true" hidden="false" outlineLevel="0" max="4" min="4" style="0" width="18"/>
  </cols>
  <sheetData>
    <row r="1" customFormat="false" ht="24" hidden="false" customHeight="true" outlineLevel="0" collapsed="false">
      <c r="A1" s="1" t="s">
        <v>185</v>
      </c>
      <c r="B1" s="1"/>
      <c r="C1" s="1"/>
      <c r="D1" s="1"/>
      <c r="E1" s="1"/>
      <c r="F1" s="1"/>
      <c r="G1" s="1"/>
      <c r="H1" s="1"/>
    </row>
    <row r="2" customFormat="false" ht="18" hidden="false" customHeight="true" outlineLevel="0" collapsed="false">
      <c r="A2" s="2" t="s">
        <v>186</v>
      </c>
      <c r="B2" s="2"/>
      <c r="C2" s="2"/>
      <c r="D2" s="2"/>
      <c r="E2" s="2"/>
      <c r="F2" s="2"/>
      <c r="G2" s="2"/>
      <c r="H2" s="2"/>
    </row>
    <row r="3" customFormat="false" ht="15" hidden="false" customHeight="false" outlineLevel="0" collapsed="false">
      <c r="A3" s="3" t="s">
        <v>187</v>
      </c>
      <c r="B3" s="3"/>
      <c r="C3" s="3"/>
      <c r="D3" s="3"/>
      <c r="E3" s="3"/>
      <c r="F3" s="3"/>
      <c r="G3" s="3"/>
      <c r="H3" s="3"/>
    </row>
    <row r="5" customFormat="false" ht="15" hidden="false" customHeight="false" outlineLevel="0" collapsed="false">
      <c r="A5" s="4" t="s">
        <v>188</v>
      </c>
      <c r="B5" s="4" t="s">
        <v>189</v>
      </c>
      <c r="C5" s="4" t="s">
        <v>190</v>
      </c>
      <c r="D5" s="4" t="s">
        <v>191</v>
      </c>
    </row>
    <row r="6" customFormat="false" ht="36" hidden="false" customHeight="true" outlineLevel="0" collapsed="false">
      <c r="A6" s="5" t="s">
        <v>192</v>
      </c>
      <c r="B6" s="5" t="s">
        <v>193</v>
      </c>
      <c r="C6" s="5" t="s">
        <v>194</v>
      </c>
      <c r="D6" s="11" t="s">
        <v>105</v>
      </c>
    </row>
    <row r="7" customFormat="false" ht="36" hidden="false" customHeight="true" outlineLevel="0" collapsed="false">
      <c r="A7" s="6" t="s">
        <v>195</v>
      </c>
      <c r="B7" s="6" t="s">
        <v>196</v>
      </c>
      <c r="C7" s="6" t="s">
        <v>197</v>
      </c>
      <c r="D7" s="11" t="s">
        <v>105</v>
      </c>
    </row>
    <row r="8" customFormat="false" ht="21.75" hidden="false" customHeight="true" outlineLevel="0" collapsed="false">
      <c r="A8" s="5" t="s">
        <v>198</v>
      </c>
      <c r="B8" s="5" t="s">
        <v>199</v>
      </c>
      <c r="C8" s="5" t="s">
        <v>200</v>
      </c>
      <c r="D8" s="11" t="s">
        <v>105</v>
      </c>
    </row>
    <row r="9" customFormat="false" ht="36" hidden="false" customHeight="true" outlineLevel="0" collapsed="false">
      <c r="A9" s="6" t="s">
        <v>201</v>
      </c>
      <c r="B9" s="6" t="s">
        <v>202</v>
      </c>
      <c r="C9" s="6" t="s">
        <v>203</v>
      </c>
      <c r="D9" s="11" t="s">
        <v>105</v>
      </c>
    </row>
    <row r="10" customFormat="false" ht="36" hidden="false" customHeight="true" outlineLevel="0" collapsed="false">
      <c r="A10" s="5" t="s">
        <v>204</v>
      </c>
      <c r="B10" s="5" t="s">
        <v>205</v>
      </c>
      <c r="C10" s="5" t="s">
        <v>206</v>
      </c>
      <c r="D10" s="10" t="s">
        <v>101</v>
      </c>
    </row>
    <row r="11" customFormat="false" ht="21.75" hidden="false" customHeight="true" outlineLevel="0" collapsed="false">
      <c r="A11" s="6" t="s">
        <v>207</v>
      </c>
      <c r="B11" s="6" t="s">
        <v>208</v>
      </c>
      <c r="C11" s="6" t="s">
        <v>209</v>
      </c>
      <c r="D11" s="10" t="s">
        <v>101</v>
      </c>
    </row>
    <row r="12" customFormat="false" ht="21.75" hidden="false" customHeight="true" outlineLevel="0" collapsed="false">
      <c r="A12" s="5" t="s">
        <v>210</v>
      </c>
      <c r="B12" s="5" t="s">
        <v>211</v>
      </c>
      <c r="C12" s="5" t="s">
        <v>212</v>
      </c>
      <c r="D12" s="10" t="s">
        <v>101</v>
      </c>
    </row>
    <row r="13" customFormat="false" ht="36" hidden="false" customHeight="true" outlineLevel="0" collapsed="false">
      <c r="A13" s="6" t="s">
        <v>213</v>
      </c>
      <c r="B13" s="6" t="s">
        <v>214</v>
      </c>
      <c r="C13" s="6" t="s">
        <v>215</v>
      </c>
      <c r="D13" s="11" t="s">
        <v>105</v>
      </c>
    </row>
    <row r="14" customFormat="false" ht="36" hidden="false" customHeight="true" outlineLevel="0" collapsed="false">
      <c r="A14" s="5" t="s">
        <v>216</v>
      </c>
      <c r="B14" s="5" t="s">
        <v>217</v>
      </c>
      <c r="C14" s="5" t="s">
        <v>218</v>
      </c>
      <c r="D14" s="11" t="s">
        <v>105</v>
      </c>
    </row>
    <row r="15" customFormat="false" ht="21.75" hidden="false" customHeight="true" outlineLevel="0" collapsed="false">
      <c r="A15" s="6" t="s">
        <v>112</v>
      </c>
      <c r="B15" s="6" t="s">
        <v>219</v>
      </c>
      <c r="C15" s="6" t="s">
        <v>220</v>
      </c>
      <c r="D15" s="9" t="s">
        <v>94</v>
      </c>
    </row>
    <row r="16" customFormat="false" ht="36" hidden="false" customHeight="true" outlineLevel="0" collapsed="false">
      <c r="A16" s="5" t="s">
        <v>221</v>
      </c>
      <c r="B16" s="5" t="s">
        <v>222</v>
      </c>
      <c r="C16" s="5" t="s">
        <v>223</v>
      </c>
      <c r="D16" s="11" t="s">
        <v>105</v>
      </c>
    </row>
    <row r="17" customFormat="false" ht="36" hidden="false" customHeight="true" outlineLevel="0" collapsed="false">
      <c r="A17" s="6" t="s">
        <v>224</v>
      </c>
      <c r="B17" s="6" t="s">
        <v>225</v>
      </c>
      <c r="C17" s="6" t="s">
        <v>226</v>
      </c>
      <c r="D17" s="10" t="s">
        <v>101</v>
      </c>
    </row>
    <row r="18" customFormat="false" ht="36" hidden="false" customHeight="true" outlineLevel="0" collapsed="false">
      <c r="A18" s="5" t="s">
        <v>227</v>
      </c>
      <c r="B18" s="5" t="s">
        <v>228</v>
      </c>
      <c r="C18" s="5" t="s">
        <v>229</v>
      </c>
      <c r="D18" s="10" t="s">
        <v>101</v>
      </c>
    </row>
    <row r="19" customFormat="false" ht="36" hidden="false" customHeight="true" outlineLevel="0" collapsed="false">
      <c r="A19" s="6" t="s">
        <v>230</v>
      </c>
      <c r="B19" s="6" t="s">
        <v>231</v>
      </c>
      <c r="C19" s="6" t="s">
        <v>232</v>
      </c>
      <c r="D19" s="11" t="s">
        <v>105</v>
      </c>
    </row>
    <row r="20" customFormat="false" ht="36" hidden="false" customHeight="true" outlineLevel="0" collapsed="false">
      <c r="A20" s="5" t="s">
        <v>233</v>
      </c>
      <c r="B20" s="5" t="s">
        <v>234</v>
      </c>
      <c r="C20" s="5" t="s">
        <v>235</v>
      </c>
      <c r="D20" s="10" t="s">
        <v>101</v>
      </c>
    </row>
    <row r="21" customFormat="false" ht="36" hidden="false" customHeight="true" outlineLevel="0" collapsed="false">
      <c r="A21" s="6" t="s">
        <v>236</v>
      </c>
      <c r="B21" s="6" t="s">
        <v>237</v>
      </c>
      <c r="C21" s="6" t="s">
        <v>238</v>
      </c>
      <c r="D21" s="16" t="s">
        <v>239</v>
      </c>
    </row>
    <row r="22" customFormat="false" ht="36" hidden="false" customHeight="true" outlineLevel="0" collapsed="false">
      <c r="A22" s="5" t="s">
        <v>240</v>
      </c>
      <c r="B22" s="5" t="s">
        <v>241</v>
      </c>
      <c r="C22" s="5" t="s">
        <v>242</v>
      </c>
      <c r="D22" s="16" t="s">
        <v>243</v>
      </c>
    </row>
    <row r="23" customFormat="false" ht="36" hidden="false" customHeight="true" outlineLevel="0" collapsed="false">
      <c r="A23" s="6" t="s">
        <v>244</v>
      </c>
      <c r="B23" s="6" t="s">
        <v>245</v>
      </c>
      <c r="C23" s="6" t="s">
        <v>246</v>
      </c>
      <c r="D23" s="16" t="s">
        <v>247</v>
      </c>
    </row>
  </sheetData>
  <mergeCells count="3">
    <mergeCell ref="A1:H1"/>
    <mergeCell ref="A2:H2"/>
    <mergeCell ref="A3:H3"/>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6D3B"/>
    <pageSetUpPr fitToPage="tru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18"/>
    <col collapsed="false" customWidth="true" hidden="false" outlineLevel="0" max="4" min="4" style="0" width="14"/>
    <col collapsed="false" customWidth="true" hidden="false" outlineLevel="0" max="5" min="5" style="0" width="55"/>
  </cols>
  <sheetData>
    <row r="1" customFormat="false" ht="24" hidden="false" customHeight="true" outlineLevel="0" collapsed="false">
      <c r="A1" s="1" t="s">
        <v>248</v>
      </c>
      <c r="B1" s="1"/>
      <c r="C1" s="1"/>
      <c r="D1" s="1"/>
      <c r="E1" s="1"/>
      <c r="F1" s="1"/>
      <c r="G1" s="1"/>
      <c r="H1" s="1"/>
    </row>
    <row r="2" customFormat="false" ht="18" hidden="false" customHeight="true" outlineLevel="0" collapsed="false">
      <c r="A2" s="2" t="s">
        <v>249</v>
      </c>
      <c r="B2" s="2"/>
      <c r="C2" s="2"/>
      <c r="D2" s="2"/>
      <c r="E2" s="2"/>
      <c r="F2" s="2"/>
      <c r="G2" s="2"/>
      <c r="H2" s="2"/>
    </row>
    <row r="3" customFormat="false" ht="15" hidden="false" customHeight="false" outlineLevel="0" collapsed="false">
      <c r="A3" s="3" t="s">
        <v>250</v>
      </c>
      <c r="B3" s="3"/>
      <c r="C3" s="3"/>
      <c r="D3" s="3"/>
      <c r="E3" s="3"/>
      <c r="F3" s="3"/>
      <c r="G3" s="3"/>
      <c r="H3" s="3"/>
    </row>
    <row r="5" customFormat="false" ht="15" hidden="false" customHeight="false" outlineLevel="0" collapsed="false">
      <c r="A5" s="4" t="s">
        <v>251</v>
      </c>
      <c r="B5" s="4" t="s">
        <v>252</v>
      </c>
      <c r="C5" s="4" t="s">
        <v>253</v>
      </c>
      <c r="D5" s="4" t="s">
        <v>191</v>
      </c>
      <c r="E5" s="4" t="s">
        <v>254</v>
      </c>
    </row>
    <row r="6" customFormat="false" ht="21.75" hidden="false" customHeight="true" outlineLevel="0" collapsed="false">
      <c r="A6" s="5" t="s">
        <v>255</v>
      </c>
      <c r="B6" s="5" t="s">
        <v>256</v>
      </c>
      <c r="C6" s="5" t="s">
        <v>257</v>
      </c>
      <c r="D6" s="9" t="s">
        <v>94</v>
      </c>
      <c r="E6" s="5" t="s">
        <v>258</v>
      </c>
    </row>
    <row r="7" customFormat="false" ht="21.75" hidden="false" customHeight="true" outlineLevel="0" collapsed="false">
      <c r="A7" s="6" t="s">
        <v>255</v>
      </c>
      <c r="B7" s="6" t="s">
        <v>259</v>
      </c>
      <c r="C7" s="6" t="s">
        <v>257</v>
      </c>
      <c r="D7" s="9" t="s">
        <v>94</v>
      </c>
      <c r="E7" s="6" t="s">
        <v>260</v>
      </c>
    </row>
    <row r="8" customFormat="false" ht="21.75" hidden="false" customHeight="true" outlineLevel="0" collapsed="false">
      <c r="A8" s="5" t="s">
        <v>255</v>
      </c>
      <c r="B8" s="5" t="s">
        <v>261</v>
      </c>
      <c r="C8" s="5" t="s">
        <v>262</v>
      </c>
      <c r="D8" s="11" t="s">
        <v>105</v>
      </c>
      <c r="E8" s="5" t="s">
        <v>263</v>
      </c>
    </row>
    <row r="9" customFormat="false" ht="21.75" hidden="false" customHeight="true" outlineLevel="0" collapsed="false">
      <c r="A9" s="6" t="s">
        <v>255</v>
      </c>
      <c r="B9" s="6" t="s">
        <v>264</v>
      </c>
      <c r="C9" s="6" t="s">
        <v>262</v>
      </c>
      <c r="D9" s="9" t="s">
        <v>94</v>
      </c>
      <c r="E9" s="6" t="s">
        <v>265</v>
      </c>
    </row>
    <row r="10" customFormat="false" ht="21.75" hidden="false" customHeight="true" outlineLevel="0" collapsed="false">
      <c r="A10" s="5" t="s">
        <v>266</v>
      </c>
      <c r="B10" s="5" t="s">
        <v>267</v>
      </c>
      <c r="C10" s="5" t="s">
        <v>262</v>
      </c>
      <c r="D10" s="9" t="s">
        <v>94</v>
      </c>
      <c r="E10" s="5" t="s">
        <v>268</v>
      </c>
    </row>
    <row r="11" customFormat="false" ht="36" hidden="false" customHeight="true" outlineLevel="0" collapsed="false">
      <c r="A11" s="6" t="s">
        <v>266</v>
      </c>
      <c r="B11" s="6" t="s">
        <v>269</v>
      </c>
      <c r="C11" s="6" t="s">
        <v>270</v>
      </c>
      <c r="D11" s="11" t="s">
        <v>105</v>
      </c>
      <c r="E11" s="6" t="s">
        <v>271</v>
      </c>
    </row>
    <row r="12" customFormat="false" ht="36" hidden="false" customHeight="true" outlineLevel="0" collapsed="false">
      <c r="A12" s="5" t="s">
        <v>266</v>
      </c>
      <c r="B12" s="5" t="s">
        <v>272</v>
      </c>
      <c r="C12" s="5" t="s">
        <v>273</v>
      </c>
      <c r="D12" s="11" t="s">
        <v>105</v>
      </c>
      <c r="E12" s="5" t="s">
        <v>274</v>
      </c>
    </row>
    <row r="13" customFormat="false" ht="21.75" hidden="false" customHeight="true" outlineLevel="0" collapsed="false">
      <c r="A13" s="6" t="s">
        <v>266</v>
      </c>
      <c r="B13" s="6" t="s">
        <v>275</v>
      </c>
      <c r="C13" s="6" t="s">
        <v>273</v>
      </c>
      <c r="D13" s="9" t="s">
        <v>94</v>
      </c>
      <c r="E13" s="6" t="s">
        <v>276</v>
      </c>
    </row>
    <row r="14" customFormat="false" ht="21.75" hidden="false" customHeight="true" outlineLevel="0" collapsed="false">
      <c r="A14" s="5" t="s">
        <v>277</v>
      </c>
      <c r="B14" s="5" t="s">
        <v>278</v>
      </c>
      <c r="C14" s="5" t="s">
        <v>273</v>
      </c>
      <c r="D14" s="16" t="s">
        <v>279</v>
      </c>
      <c r="E14" s="5" t="s">
        <v>280</v>
      </c>
    </row>
    <row r="15" customFormat="false" ht="36" hidden="false" customHeight="true" outlineLevel="0" collapsed="false">
      <c r="A15" s="6" t="s">
        <v>277</v>
      </c>
      <c r="B15" s="6" t="s">
        <v>281</v>
      </c>
      <c r="C15" s="6" t="s">
        <v>270</v>
      </c>
      <c r="D15" s="16" t="s">
        <v>247</v>
      </c>
      <c r="E15" s="6" t="s">
        <v>282</v>
      </c>
    </row>
    <row r="16" customFormat="false" ht="21.75" hidden="false" customHeight="true" outlineLevel="0" collapsed="false">
      <c r="A16" s="5" t="s">
        <v>277</v>
      </c>
      <c r="B16" s="5" t="s">
        <v>283</v>
      </c>
      <c r="C16" s="5" t="s">
        <v>273</v>
      </c>
      <c r="D16" s="16" t="s">
        <v>239</v>
      </c>
      <c r="E16" s="5" t="s">
        <v>284</v>
      </c>
    </row>
    <row r="17" customFormat="false" ht="21.75" hidden="false" customHeight="true" outlineLevel="0" collapsed="false">
      <c r="A17" s="6" t="s">
        <v>277</v>
      </c>
      <c r="B17" s="6" t="s">
        <v>285</v>
      </c>
      <c r="C17" s="6" t="s">
        <v>273</v>
      </c>
      <c r="D17" s="16" t="s">
        <v>286</v>
      </c>
      <c r="E17" s="6" t="s">
        <v>287</v>
      </c>
    </row>
  </sheetData>
  <mergeCells count="3">
    <mergeCell ref="A1:H1"/>
    <mergeCell ref="A2:H2"/>
    <mergeCell ref="A3:H3"/>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22"/>
    <col collapsed="false" customWidth="true" hidden="false" outlineLevel="0" max="4" min="4" style="0" width="50"/>
  </cols>
  <sheetData>
    <row r="1" customFormat="false" ht="24" hidden="false" customHeight="true" outlineLevel="0" collapsed="false">
      <c r="A1" s="1" t="s">
        <v>288</v>
      </c>
      <c r="B1" s="1"/>
      <c r="C1" s="1"/>
      <c r="D1" s="1"/>
      <c r="E1" s="1"/>
      <c r="F1" s="1"/>
      <c r="G1" s="1"/>
      <c r="H1" s="1"/>
    </row>
    <row r="2" customFormat="false" ht="18" hidden="false" customHeight="true" outlineLevel="0" collapsed="false">
      <c r="A2" s="2" t="s">
        <v>289</v>
      </c>
      <c r="B2" s="2"/>
      <c r="C2" s="2"/>
      <c r="D2" s="2"/>
      <c r="E2" s="2"/>
      <c r="F2" s="2"/>
      <c r="G2" s="2"/>
      <c r="H2" s="2"/>
    </row>
    <row r="3" customFormat="false" ht="15" hidden="false" customHeight="false" outlineLevel="0" collapsed="false">
      <c r="A3" s="3" t="s">
        <v>290</v>
      </c>
      <c r="B3" s="3"/>
      <c r="C3" s="3"/>
      <c r="D3" s="3"/>
      <c r="E3" s="3"/>
      <c r="F3" s="3"/>
      <c r="G3" s="3"/>
      <c r="H3" s="3"/>
    </row>
    <row r="5" customFormat="false" ht="15" hidden="false" customHeight="false" outlineLevel="0" collapsed="false">
      <c r="A5" s="4" t="s">
        <v>291</v>
      </c>
      <c r="B5" s="4" t="s">
        <v>292</v>
      </c>
      <c r="C5" s="4" t="s">
        <v>293</v>
      </c>
      <c r="D5" s="4" t="s">
        <v>294</v>
      </c>
    </row>
    <row r="6" customFormat="false" ht="36" hidden="false" customHeight="true" outlineLevel="0" collapsed="false">
      <c r="A6" s="5" t="s">
        <v>295</v>
      </c>
      <c r="B6" s="5" t="s">
        <v>296</v>
      </c>
      <c r="C6" s="5" t="s">
        <v>297</v>
      </c>
      <c r="D6" s="5" t="s">
        <v>298</v>
      </c>
    </row>
    <row r="7" customFormat="false" ht="21.75" hidden="false" customHeight="true" outlineLevel="0" collapsed="false">
      <c r="A7" s="6" t="s">
        <v>299</v>
      </c>
      <c r="B7" s="6" t="s">
        <v>300</v>
      </c>
      <c r="C7" s="6" t="s">
        <v>301</v>
      </c>
      <c r="D7" s="6" t="s">
        <v>302</v>
      </c>
    </row>
    <row r="8" customFormat="false" ht="36" hidden="false" customHeight="true" outlineLevel="0" collapsed="false">
      <c r="A8" s="5" t="s">
        <v>303</v>
      </c>
      <c r="B8" s="5" t="s">
        <v>304</v>
      </c>
      <c r="C8" s="5" t="s">
        <v>305</v>
      </c>
      <c r="D8" s="5" t="s">
        <v>306</v>
      </c>
    </row>
    <row r="9" customFormat="false" ht="21.75" hidden="false" customHeight="true" outlineLevel="0" collapsed="false">
      <c r="A9" s="6" t="s">
        <v>307</v>
      </c>
      <c r="B9" s="6" t="s">
        <v>308</v>
      </c>
      <c r="C9" s="6" t="s">
        <v>309</v>
      </c>
      <c r="D9" s="6" t="s">
        <v>310</v>
      </c>
    </row>
    <row r="10" customFormat="false" ht="36" hidden="false" customHeight="true" outlineLevel="0" collapsed="false">
      <c r="A10" s="5" t="s">
        <v>311</v>
      </c>
      <c r="B10" s="5" t="s">
        <v>312</v>
      </c>
      <c r="C10" s="5" t="s">
        <v>313</v>
      </c>
      <c r="D10" s="5" t="s">
        <v>314</v>
      </c>
    </row>
    <row r="11" customFormat="false" ht="21.75" hidden="false" customHeight="true" outlineLevel="0" collapsed="false">
      <c r="A11" s="6" t="s">
        <v>315</v>
      </c>
      <c r="B11" s="6" t="s">
        <v>316</v>
      </c>
      <c r="C11" s="6" t="s">
        <v>317</v>
      </c>
      <c r="D11" s="6" t="s">
        <v>318</v>
      </c>
    </row>
    <row r="12" customFormat="false" ht="21.75" hidden="false" customHeight="true" outlineLevel="0" collapsed="false">
      <c r="A12" s="5" t="s">
        <v>319</v>
      </c>
      <c r="B12" s="5" t="s">
        <v>320</v>
      </c>
      <c r="C12" s="5" t="s">
        <v>321</v>
      </c>
      <c r="D12" s="5" t="s">
        <v>322</v>
      </c>
    </row>
    <row r="13" customFormat="false" ht="36" hidden="false" customHeight="true" outlineLevel="0" collapsed="false">
      <c r="A13" s="6" t="s">
        <v>323</v>
      </c>
      <c r="B13" s="6" t="s">
        <v>324</v>
      </c>
      <c r="C13" s="6" t="s">
        <v>325</v>
      </c>
      <c r="D13" s="6" t="s">
        <v>326</v>
      </c>
    </row>
    <row r="14" customFormat="false" ht="36" hidden="false" customHeight="true" outlineLevel="0" collapsed="false">
      <c r="A14" s="5" t="s">
        <v>327</v>
      </c>
      <c r="B14" s="5" t="s">
        <v>328</v>
      </c>
      <c r="C14" s="5" t="s">
        <v>329</v>
      </c>
      <c r="D14" s="5" t="s">
        <v>330</v>
      </c>
    </row>
    <row r="16" customFormat="false" ht="15" hidden="false" customHeight="false" outlineLevel="0" collapsed="false">
      <c r="A16" s="4" t="s">
        <v>331</v>
      </c>
      <c r="B16" s="4" t="s">
        <v>332</v>
      </c>
      <c r="C16" s="4" t="s">
        <v>333</v>
      </c>
      <c r="D16" s="4" t="s">
        <v>334</v>
      </c>
    </row>
    <row r="17" customFormat="false" ht="21.75" hidden="false" customHeight="true" outlineLevel="0" collapsed="false">
      <c r="A17" s="5" t="s">
        <v>335</v>
      </c>
      <c r="B17" s="5" t="s">
        <v>336</v>
      </c>
      <c r="C17" s="5" t="s">
        <v>337</v>
      </c>
      <c r="D17" s="5" t="s">
        <v>338</v>
      </c>
    </row>
    <row r="18" customFormat="false" ht="21.75" hidden="false" customHeight="true" outlineLevel="0" collapsed="false">
      <c r="A18" s="6" t="s">
        <v>339</v>
      </c>
      <c r="B18" s="6" t="s">
        <v>340</v>
      </c>
      <c r="C18" s="6" t="s">
        <v>337</v>
      </c>
      <c r="D18" s="6" t="s">
        <v>338</v>
      </c>
    </row>
    <row r="19" customFormat="false" ht="21.75" hidden="false" customHeight="true" outlineLevel="0" collapsed="false">
      <c r="A19" s="5" t="s">
        <v>341</v>
      </c>
      <c r="B19" s="5" t="s">
        <v>342</v>
      </c>
      <c r="C19" s="5" t="s">
        <v>343</v>
      </c>
      <c r="D19" s="5" t="s">
        <v>344</v>
      </c>
    </row>
    <row r="20" customFormat="false" ht="21.75" hidden="false" customHeight="true" outlineLevel="0" collapsed="false">
      <c r="A20" s="6" t="s">
        <v>345</v>
      </c>
      <c r="B20" s="6" t="s">
        <v>346</v>
      </c>
      <c r="C20" s="6" t="s">
        <v>347</v>
      </c>
      <c r="D20" s="6" t="s">
        <v>348</v>
      </c>
    </row>
  </sheetData>
  <mergeCells count="3">
    <mergeCell ref="A1:H1"/>
    <mergeCell ref="A2:H2"/>
    <mergeCell ref="A3:H3"/>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3B"/>
    <pageSetUpPr fitToPage="tru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8"/>
    <col collapsed="false" customWidth="true" hidden="false" outlineLevel="0" max="3" min="3" style="0" width="22"/>
    <col collapsed="false" customWidth="true" hidden="false" outlineLevel="0" max="4" min="4" style="0" width="40"/>
  </cols>
  <sheetData>
    <row r="1" customFormat="false" ht="24" hidden="false" customHeight="true" outlineLevel="0" collapsed="false">
      <c r="A1" s="1" t="s">
        <v>349</v>
      </c>
      <c r="B1" s="1"/>
      <c r="C1" s="1"/>
      <c r="D1" s="1"/>
      <c r="E1" s="1"/>
      <c r="F1" s="1"/>
      <c r="G1" s="1"/>
      <c r="H1" s="1"/>
    </row>
    <row r="2" customFormat="false" ht="18" hidden="false" customHeight="true" outlineLevel="0" collapsed="false">
      <c r="A2" s="2" t="s">
        <v>350</v>
      </c>
      <c r="B2" s="2"/>
      <c r="C2" s="2"/>
      <c r="D2" s="2"/>
      <c r="E2" s="2"/>
      <c r="F2" s="2"/>
      <c r="G2" s="2"/>
      <c r="H2" s="2"/>
    </row>
    <row r="3" customFormat="false" ht="15" hidden="false" customHeight="false" outlineLevel="0" collapsed="false">
      <c r="A3" s="3" t="s">
        <v>351</v>
      </c>
      <c r="B3" s="3"/>
      <c r="C3" s="3"/>
      <c r="D3" s="3"/>
      <c r="E3" s="3"/>
      <c r="F3" s="3"/>
      <c r="G3" s="3"/>
      <c r="H3" s="3"/>
    </row>
    <row r="5" customFormat="false" ht="15" hidden="false" customHeight="false" outlineLevel="0" collapsed="false">
      <c r="A5" s="4" t="s">
        <v>352</v>
      </c>
      <c r="B5" s="4" t="s">
        <v>353</v>
      </c>
      <c r="C5" s="4" t="s">
        <v>354</v>
      </c>
      <c r="D5" s="4" t="s">
        <v>355</v>
      </c>
    </row>
    <row r="6" customFormat="false" ht="21.75" hidden="false" customHeight="true" outlineLevel="0" collapsed="false">
      <c r="A6" s="5" t="s">
        <v>356</v>
      </c>
      <c r="B6" s="5" t="s">
        <v>357</v>
      </c>
      <c r="C6" s="5" t="s">
        <v>358</v>
      </c>
      <c r="D6" s="5" t="s">
        <v>359</v>
      </c>
    </row>
    <row r="7" customFormat="false" ht="21.75" hidden="false" customHeight="true" outlineLevel="0" collapsed="false">
      <c r="A7" s="6" t="s">
        <v>360</v>
      </c>
      <c r="B7" s="6" t="s">
        <v>361</v>
      </c>
      <c r="C7" s="6" t="s">
        <v>358</v>
      </c>
      <c r="D7" s="6" t="s">
        <v>362</v>
      </c>
    </row>
    <row r="8" customFormat="false" ht="21.75" hidden="false" customHeight="true" outlineLevel="0" collapsed="false">
      <c r="A8" s="5" t="s">
        <v>363</v>
      </c>
      <c r="B8" s="5" t="s">
        <v>364</v>
      </c>
      <c r="C8" s="5" t="s">
        <v>358</v>
      </c>
      <c r="D8" s="5" t="s">
        <v>365</v>
      </c>
    </row>
    <row r="9" customFormat="false" ht="21.75" hidden="false" customHeight="true" outlineLevel="0" collapsed="false">
      <c r="A9" s="6" t="s">
        <v>366</v>
      </c>
      <c r="B9" s="6" t="s">
        <v>367</v>
      </c>
      <c r="C9" s="6" t="s">
        <v>368</v>
      </c>
      <c r="D9" s="6" t="s">
        <v>369</v>
      </c>
    </row>
    <row r="10" customFormat="false" ht="21.75" hidden="false" customHeight="true" outlineLevel="0" collapsed="false">
      <c r="A10" s="5" t="s">
        <v>370</v>
      </c>
      <c r="B10" s="5" t="s">
        <v>371</v>
      </c>
      <c r="C10" s="5" t="s">
        <v>372</v>
      </c>
      <c r="D10" s="5" t="s">
        <v>373</v>
      </c>
    </row>
    <row r="11" customFormat="false" ht="21.75" hidden="false" customHeight="true" outlineLevel="0" collapsed="false">
      <c r="A11" s="6" t="s">
        <v>374</v>
      </c>
      <c r="B11" s="6" t="s">
        <v>375</v>
      </c>
      <c r="C11" s="6" t="s">
        <v>372</v>
      </c>
      <c r="D11" s="6" t="s">
        <v>376</v>
      </c>
    </row>
    <row r="12" customFormat="false" ht="21.75" hidden="false" customHeight="true" outlineLevel="0" collapsed="false">
      <c r="A12" s="5" t="s">
        <v>377</v>
      </c>
      <c r="B12" s="5" t="s">
        <v>378</v>
      </c>
      <c r="C12" s="5" t="s">
        <v>372</v>
      </c>
      <c r="D12" s="5"/>
    </row>
    <row r="13" customFormat="false" ht="21.75" hidden="false" customHeight="true" outlineLevel="0" collapsed="false">
      <c r="A13" s="6" t="s">
        <v>379</v>
      </c>
      <c r="B13" s="6" t="s">
        <v>380</v>
      </c>
      <c r="C13" s="6" t="s">
        <v>381</v>
      </c>
      <c r="D13" s="6" t="s">
        <v>382</v>
      </c>
    </row>
    <row r="14" customFormat="false" ht="21.75" hidden="false" customHeight="true" outlineLevel="0" collapsed="false">
      <c r="A14" s="5" t="s">
        <v>383</v>
      </c>
      <c r="B14" s="5" t="s">
        <v>384</v>
      </c>
      <c r="C14" s="5" t="s">
        <v>385</v>
      </c>
      <c r="D14" s="5" t="s">
        <v>386</v>
      </c>
    </row>
    <row r="15" customFormat="false" ht="21.75" hidden="false" customHeight="true" outlineLevel="0" collapsed="false">
      <c r="A15" s="6" t="s">
        <v>387</v>
      </c>
      <c r="B15" s="6" t="s">
        <v>388</v>
      </c>
      <c r="C15" s="6" t="s">
        <v>389</v>
      </c>
      <c r="D15" s="6" t="s">
        <v>390</v>
      </c>
    </row>
    <row r="16" customFormat="false" ht="21.75" hidden="false" customHeight="true" outlineLevel="0" collapsed="false">
      <c r="A16" s="5" t="s">
        <v>391</v>
      </c>
      <c r="B16" s="5" t="s">
        <v>392</v>
      </c>
      <c r="C16" s="5" t="s">
        <v>389</v>
      </c>
      <c r="D16" s="5" t="s">
        <v>390</v>
      </c>
    </row>
    <row r="17" customFormat="false" ht="21.75" hidden="false" customHeight="true" outlineLevel="0" collapsed="false">
      <c r="A17" s="6" t="s">
        <v>393</v>
      </c>
      <c r="B17" s="6" t="s">
        <v>394</v>
      </c>
      <c r="C17" s="6" t="s">
        <v>389</v>
      </c>
      <c r="D17" s="6"/>
    </row>
    <row r="18" customFormat="false" ht="21.75" hidden="false" customHeight="true" outlineLevel="0" collapsed="false">
      <c r="A18" s="5" t="s">
        <v>395</v>
      </c>
      <c r="B18" s="5" t="s">
        <v>396</v>
      </c>
      <c r="C18" s="5" t="s">
        <v>358</v>
      </c>
      <c r="D18" s="5" t="s">
        <v>397</v>
      </c>
    </row>
    <row r="19" customFormat="false" ht="21.75" hidden="false" customHeight="true" outlineLevel="0" collapsed="false">
      <c r="A19" s="6" t="s">
        <v>398</v>
      </c>
      <c r="B19" s="6" t="s">
        <v>399</v>
      </c>
      <c r="C19" s="6" t="s">
        <v>358</v>
      </c>
      <c r="D19" s="6"/>
    </row>
    <row r="20" customFormat="false" ht="21.75" hidden="false" customHeight="true" outlineLevel="0" collapsed="false">
      <c r="A20" s="5" t="s">
        <v>400</v>
      </c>
      <c r="B20" s="5" t="s">
        <v>401</v>
      </c>
      <c r="C20" s="5" t="s">
        <v>358</v>
      </c>
      <c r="D20" s="5"/>
    </row>
    <row r="21" customFormat="false" ht="21.75" hidden="false" customHeight="true" outlineLevel="0" collapsed="false">
      <c r="A21" s="6" t="s">
        <v>402</v>
      </c>
      <c r="B21" s="6" t="s">
        <v>403</v>
      </c>
      <c r="C21" s="6" t="s">
        <v>358</v>
      </c>
      <c r="D21" s="6"/>
    </row>
    <row r="22" customFormat="false" ht="21.75" hidden="false" customHeight="true" outlineLevel="0" collapsed="false">
      <c r="A22" s="5" t="s">
        <v>404</v>
      </c>
      <c r="B22" s="5" t="s">
        <v>405</v>
      </c>
      <c r="C22" s="5" t="s">
        <v>389</v>
      </c>
      <c r="D22" s="5" t="s">
        <v>406</v>
      </c>
    </row>
    <row r="23" customFormat="false" ht="21.75" hidden="false" customHeight="true" outlineLevel="0" collapsed="false">
      <c r="A23" s="6" t="s">
        <v>407</v>
      </c>
      <c r="B23" s="6" t="s">
        <v>408</v>
      </c>
      <c r="C23" s="6" t="s">
        <v>409</v>
      </c>
      <c r="D23" s="6" t="s">
        <v>410</v>
      </c>
    </row>
    <row r="24" customFormat="false" ht="21.75" hidden="false" customHeight="true" outlineLevel="0" collapsed="false">
      <c r="A24" s="5" t="s">
        <v>411</v>
      </c>
      <c r="B24" s="5" t="s">
        <v>412</v>
      </c>
      <c r="C24" s="5" t="s">
        <v>409</v>
      </c>
      <c r="D24" s="5"/>
    </row>
    <row r="25" customFormat="false" ht="21.75" hidden="false" customHeight="true" outlineLevel="0" collapsed="false">
      <c r="A25" s="6" t="s">
        <v>413</v>
      </c>
      <c r="B25" s="6" t="s">
        <v>414</v>
      </c>
      <c r="C25" s="6" t="s">
        <v>415</v>
      </c>
      <c r="D25" s="6" t="s">
        <v>416</v>
      </c>
    </row>
    <row r="26" customFormat="false" ht="21.75" hidden="false" customHeight="true" outlineLevel="0" collapsed="false">
      <c r="A26" s="5" t="s">
        <v>417</v>
      </c>
      <c r="B26" s="5" t="s">
        <v>418</v>
      </c>
      <c r="C26" s="5" t="s">
        <v>419</v>
      </c>
      <c r="D26" s="5" t="s">
        <v>420</v>
      </c>
    </row>
    <row r="27" customFormat="false" ht="21.75" hidden="false" customHeight="true" outlineLevel="0" collapsed="false">
      <c r="A27" s="6" t="s">
        <v>421</v>
      </c>
      <c r="B27" s="6" t="s">
        <v>422</v>
      </c>
      <c r="C27" s="6" t="s">
        <v>423</v>
      </c>
      <c r="D27" s="6" t="s">
        <v>424</v>
      </c>
    </row>
    <row r="28" customFormat="false" ht="21.75" hidden="false" customHeight="true" outlineLevel="0" collapsed="false">
      <c r="A28" s="5" t="s">
        <v>233</v>
      </c>
      <c r="B28" s="5" t="s">
        <v>425</v>
      </c>
      <c r="C28" s="5" t="s">
        <v>419</v>
      </c>
      <c r="D28" s="5" t="s">
        <v>426</v>
      </c>
    </row>
    <row r="29" customFormat="false" ht="21.75" hidden="false" customHeight="true" outlineLevel="0" collapsed="false">
      <c r="A29" s="6" t="s">
        <v>427</v>
      </c>
      <c r="B29" s="6" t="s">
        <v>428</v>
      </c>
      <c r="C29" s="6" t="s">
        <v>429</v>
      </c>
      <c r="D29" s="6" t="s">
        <v>430</v>
      </c>
    </row>
    <row r="30" customFormat="false" ht="21.75" hidden="false" customHeight="true" outlineLevel="0" collapsed="false">
      <c r="A30" s="5" t="s">
        <v>431</v>
      </c>
      <c r="B30" s="5" t="s">
        <v>432</v>
      </c>
      <c r="C30" s="5" t="s">
        <v>433</v>
      </c>
      <c r="D30" s="5" t="s">
        <v>434</v>
      </c>
    </row>
    <row r="33" customFormat="false" ht="15" hidden="false" customHeight="true" outlineLevel="0" collapsed="false">
      <c r="A33" s="14" t="s">
        <v>435</v>
      </c>
      <c r="B33" s="14"/>
      <c r="C33" s="14"/>
      <c r="D33" s="14"/>
    </row>
    <row r="34" customFormat="false" ht="15" hidden="false" customHeight="false" outlineLevel="0" collapsed="false">
      <c r="A34" s="4" t="s">
        <v>436</v>
      </c>
      <c r="B34" s="4" t="s">
        <v>437</v>
      </c>
      <c r="C34" s="4" t="s">
        <v>438</v>
      </c>
    </row>
    <row r="35" customFormat="false" ht="15" hidden="false" customHeight="false" outlineLevel="0" collapsed="false">
      <c r="A35" s="17" t="s">
        <v>439</v>
      </c>
      <c r="B35" s="18" t="n">
        <v>35</v>
      </c>
      <c r="C35" s="5" t="s">
        <v>440</v>
      </c>
    </row>
    <row r="36" customFormat="false" ht="15" hidden="false" customHeight="false" outlineLevel="0" collapsed="false">
      <c r="A36" s="17" t="s">
        <v>441</v>
      </c>
      <c r="B36" s="18" t="n">
        <v>3</v>
      </c>
      <c r="C36" s="5" t="s">
        <v>442</v>
      </c>
    </row>
    <row r="37" customFormat="false" ht="15" hidden="false" customHeight="false" outlineLevel="0" collapsed="false">
      <c r="A37" s="17" t="s">
        <v>443</v>
      </c>
      <c r="B37" s="18" t="n">
        <v>2</v>
      </c>
      <c r="C37" s="5" t="s">
        <v>444</v>
      </c>
    </row>
    <row r="38" customFormat="false" ht="15" hidden="false" customHeight="false" outlineLevel="0" collapsed="false">
      <c r="A38" s="17" t="s">
        <v>445</v>
      </c>
      <c r="B38" s="18" t="n">
        <v>25</v>
      </c>
      <c r="C38" s="5" t="s">
        <v>446</v>
      </c>
    </row>
    <row r="39" customFormat="false" ht="15" hidden="false" customHeight="false" outlineLevel="0" collapsed="false">
      <c r="A39" s="17" t="s">
        <v>447</v>
      </c>
      <c r="B39" s="18" t="n">
        <v>260</v>
      </c>
      <c r="C39" s="5" t="s">
        <v>448</v>
      </c>
    </row>
    <row r="40" customFormat="false" ht="15" hidden="false" customHeight="false" outlineLevel="0" collapsed="false">
      <c r="A40" s="17" t="s">
        <v>449</v>
      </c>
      <c r="B40" s="18" t="n">
        <v>260</v>
      </c>
      <c r="C40" s="5" t="s">
        <v>450</v>
      </c>
    </row>
    <row r="42" customFormat="false" ht="15" hidden="false" customHeight="false" outlineLevel="0" collapsed="false">
      <c r="A42" s="4" t="s">
        <v>451</v>
      </c>
      <c r="B42" s="4" t="s">
        <v>332</v>
      </c>
      <c r="C42" s="4" t="s">
        <v>452</v>
      </c>
    </row>
    <row r="43" customFormat="false" ht="15" hidden="false" customHeight="false" outlineLevel="0" collapsed="false">
      <c r="A43" s="6" t="s">
        <v>453</v>
      </c>
      <c r="B43" s="6" t="s">
        <v>454</v>
      </c>
      <c r="C43" s="19" t="n">
        <f aca="false">B35+B36+B37</f>
        <v>40</v>
      </c>
    </row>
    <row r="44" customFormat="false" ht="15" hidden="false" customHeight="false" outlineLevel="0" collapsed="false">
      <c r="A44" s="5" t="s">
        <v>455</v>
      </c>
      <c r="B44" s="5" t="s">
        <v>456</v>
      </c>
      <c r="C44" s="20" t="n">
        <f aca="false">B38+B37</f>
        <v>27</v>
      </c>
    </row>
    <row r="45" customFormat="false" ht="15" hidden="false" customHeight="false" outlineLevel="0" collapsed="false">
      <c r="A45" s="6" t="s">
        <v>457</v>
      </c>
      <c r="B45" s="6" t="s">
        <v>458</v>
      </c>
      <c r="C45" s="19" t="n">
        <f aca="false">B35+C44+B36</f>
        <v>65</v>
      </c>
    </row>
    <row r="46" customFormat="false" ht="15" hidden="false" customHeight="false" outlineLevel="0" collapsed="false">
      <c r="A46" s="5" t="s">
        <v>459</v>
      </c>
      <c r="B46" s="5" t="s">
        <v>460</v>
      </c>
      <c r="C46" s="20" t="n">
        <f aca="false">C43+B38</f>
        <v>65</v>
      </c>
    </row>
    <row r="47" customFormat="false" ht="15" hidden="false" customHeight="false" outlineLevel="0" collapsed="false">
      <c r="A47" s="6" t="s">
        <v>461</v>
      </c>
      <c r="B47" s="6" t="s">
        <v>462</v>
      </c>
      <c r="C47" s="19" t="str">
        <f aca="false">IF(ABS(B39-B40)&lt;0.000000001,"PASS","FAIL")</f>
        <v>PASS</v>
      </c>
    </row>
    <row r="48" customFormat="false" ht="15" hidden="false" customHeight="false" outlineLevel="0" collapsed="false">
      <c r="A48" s="5" t="s">
        <v>463</v>
      </c>
      <c r="B48" s="5" t="s">
        <v>464</v>
      </c>
      <c r="C48" s="20" t="str">
        <f aca="false">IF(ABS(C45-C46)&lt;0.000000001,"PASS","FAIL")</f>
        <v>PASS</v>
      </c>
    </row>
  </sheetData>
  <mergeCells count="4">
    <mergeCell ref="A1:H1"/>
    <mergeCell ref="A2:H2"/>
    <mergeCell ref="A3:H3"/>
    <mergeCell ref="A33:D33"/>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5" min="2" style="0" width="16"/>
    <col collapsed="false" customWidth="true" hidden="false" outlineLevel="0" max="6" min="6" style="0" width="18"/>
    <col collapsed="false" customWidth="true" hidden="false" outlineLevel="0" max="7" min="7" style="0" width="22"/>
    <col collapsed="false" customWidth="true" hidden="false" outlineLevel="0" max="8" min="8" style="0" width="28"/>
  </cols>
  <sheetData>
    <row r="1" customFormat="false" ht="24" hidden="false" customHeight="true" outlineLevel="0" collapsed="false">
      <c r="A1" s="1" t="s">
        <v>465</v>
      </c>
      <c r="B1" s="1"/>
      <c r="C1" s="1"/>
      <c r="D1" s="1"/>
      <c r="E1" s="1"/>
      <c r="F1" s="1"/>
      <c r="G1" s="1"/>
      <c r="H1" s="1"/>
    </row>
    <row r="2" customFormat="false" ht="18" hidden="false" customHeight="true" outlineLevel="0" collapsed="false">
      <c r="A2" s="2" t="s">
        <v>466</v>
      </c>
      <c r="B2" s="2"/>
      <c r="C2" s="2"/>
      <c r="D2" s="2"/>
      <c r="E2" s="2"/>
      <c r="F2" s="2"/>
      <c r="G2" s="2"/>
      <c r="H2" s="2"/>
    </row>
    <row r="3" customFormat="false" ht="15" hidden="false" customHeight="false" outlineLevel="0" collapsed="false">
      <c r="A3" s="3" t="s">
        <v>467</v>
      </c>
      <c r="B3" s="3"/>
      <c r="C3" s="3"/>
      <c r="D3" s="3"/>
      <c r="E3" s="3"/>
      <c r="F3" s="3"/>
      <c r="G3" s="3"/>
      <c r="H3" s="3"/>
    </row>
    <row r="5" customFormat="false" ht="15" hidden="false" customHeight="true" outlineLevel="0" collapsed="false">
      <c r="A5" s="14" t="s">
        <v>468</v>
      </c>
      <c r="B5" s="14"/>
      <c r="C5" s="14"/>
      <c r="D5" s="21" t="s">
        <v>469</v>
      </c>
      <c r="E5" s="21"/>
      <c r="F5" s="21"/>
    </row>
    <row r="6" customFormat="false" ht="15" hidden="false" customHeight="false" outlineLevel="0" collapsed="false">
      <c r="A6" s="15" t="s">
        <v>470</v>
      </c>
      <c r="B6" s="18" t="n">
        <v>10</v>
      </c>
      <c r="D6" s="6" t="s">
        <v>471</v>
      </c>
      <c r="E6" s="19" t="n">
        <f aca="false">B8-B9</f>
        <v>5</v>
      </c>
    </row>
    <row r="7" customFormat="false" ht="26.85" hidden="false" customHeight="false" outlineLevel="0" collapsed="false">
      <c r="A7" s="15" t="s">
        <v>472</v>
      </c>
      <c r="B7" s="18" t="n">
        <v>125</v>
      </c>
      <c r="D7" s="6" t="s">
        <v>473</v>
      </c>
      <c r="E7" s="19" t="n">
        <f aca="false">E6-B11-B10</f>
        <v>1</v>
      </c>
    </row>
    <row r="8" customFormat="false" ht="26.85" hidden="false" customHeight="false" outlineLevel="0" collapsed="false">
      <c r="A8" s="15" t="s">
        <v>474</v>
      </c>
      <c r="B8" s="18" t="n">
        <v>6</v>
      </c>
      <c r="D8" s="6" t="s">
        <v>475</v>
      </c>
      <c r="E8" s="19" t="n">
        <f aca="false">E6</f>
        <v>5</v>
      </c>
    </row>
    <row r="9" customFormat="false" ht="26.85" hidden="false" customHeight="false" outlineLevel="0" collapsed="false">
      <c r="A9" s="15" t="s">
        <v>476</v>
      </c>
      <c r="B9" s="18" t="n">
        <v>1</v>
      </c>
      <c r="D9" s="6" t="s">
        <v>477</v>
      </c>
      <c r="E9" s="19" t="n">
        <f aca="false">E6</f>
        <v>5</v>
      </c>
    </row>
    <row r="10" customFormat="false" ht="26.85" hidden="false" customHeight="false" outlineLevel="0" collapsed="false">
      <c r="A10" s="15" t="s">
        <v>478</v>
      </c>
      <c r="B10" s="18" t="n">
        <v>0</v>
      </c>
      <c r="D10" s="6" t="s">
        <v>479</v>
      </c>
      <c r="E10" s="19" t="str">
        <f aca="false">IF(AND(B11+E7+B10=E6,B9+E6=B8),"PASS","FAIL")</f>
        <v>PASS</v>
      </c>
    </row>
    <row r="11" customFormat="false" ht="26.85" hidden="false" customHeight="false" outlineLevel="0" collapsed="false">
      <c r="A11" s="15" t="s">
        <v>480</v>
      </c>
      <c r="B11" s="18" t="n">
        <v>4</v>
      </c>
      <c r="D11" s="6" t="s">
        <v>481</v>
      </c>
      <c r="E11" s="19" t="str">
        <f aca="false">IF(AND(B9&gt;0,B15=1,E6&gt;0),"REFUND","NO")</f>
        <v>NO</v>
      </c>
    </row>
    <row r="12" customFormat="false" ht="26.85" hidden="false" customHeight="false" outlineLevel="0" collapsed="false">
      <c r="A12" s="15" t="s">
        <v>482</v>
      </c>
      <c r="B12" s="18" t="n">
        <v>0</v>
      </c>
      <c r="D12" s="6" t="s">
        <v>483</v>
      </c>
      <c r="E12" s="19" t="str">
        <f aca="false">IF(E6=0,"REFUND","NO")</f>
        <v>NO</v>
      </c>
    </row>
    <row r="13" customFormat="false" ht="26.85" hidden="false" customHeight="false" outlineLevel="0" collapsed="false">
      <c r="A13" s="15" t="s">
        <v>484</v>
      </c>
      <c r="B13" s="18" t="n">
        <v>0</v>
      </c>
    </row>
    <row r="14" customFormat="false" ht="15" hidden="false" customHeight="false" outlineLevel="0" collapsed="false">
      <c r="A14" s="15" t="s">
        <v>485</v>
      </c>
      <c r="B14" s="18" t="n">
        <v>1</v>
      </c>
    </row>
    <row r="15" customFormat="false" ht="15" hidden="false" customHeight="false" outlineLevel="0" collapsed="false">
      <c r="A15" s="15" t="s">
        <v>486</v>
      </c>
      <c r="B15" s="18" t="n">
        <v>2</v>
      </c>
    </row>
    <row r="18" customFormat="false" ht="26.85" hidden="false" customHeight="true" outlineLevel="0" collapsed="false">
      <c r="A18" s="22" t="s">
        <v>487</v>
      </c>
      <c r="B18" s="22"/>
      <c r="C18" s="22"/>
      <c r="E18" s="23" t="s">
        <v>488</v>
      </c>
      <c r="F18" s="23"/>
      <c r="G18" s="23"/>
    </row>
    <row r="19" customFormat="false" ht="15" hidden="false" customHeight="false" outlineLevel="0" collapsed="false">
      <c r="A19" s="4" t="s">
        <v>489</v>
      </c>
      <c r="B19" s="4" t="s">
        <v>490</v>
      </c>
      <c r="C19" s="4" t="s">
        <v>491</v>
      </c>
      <c r="E19" s="24" t="s">
        <v>492</v>
      </c>
      <c r="F19" s="25" t="n">
        <f aca="false">IFERROR(SUMIFS(C20:C44,A20:A44,E9,B20:B44,B11),"UNKNOWN_PLATFORM_RULE")</f>
        <v>10</v>
      </c>
    </row>
    <row r="20" customFormat="false" ht="15" hidden="false" customHeight="false" outlineLevel="0" collapsed="false">
      <c r="A20" s="5" t="n">
        <v>6</v>
      </c>
      <c r="B20" s="5" t="n">
        <v>6</v>
      </c>
      <c r="C20" s="5" t="n">
        <v>250</v>
      </c>
      <c r="E20" s="24" t="s">
        <v>493</v>
      </c>
      <c r="F20" s="25" t="n">
        <f aca="false">IF(B12=0,0,IF(B13=1,B7/MAX(B14,1),0))</f>
        <v>0</v>
      </c>
    </row>
    <row r="21" customFormat="false" ht="15" hidden="false" customHeight="false" outlineLevel="0" collapsed="false">
      <c r="A21" s="6" t="n">
        <v>6</v>
      </c>
      <c r="B21" s="6" t="n">
        <v>5</v>
      </c>
      <c r="C21" s="6" t="n">
        <v>20</v>
      </c>
      <c r="E21" s="24" t="s">
        <v>494</v>
      </c>
      <c r="F21" s="25" t="str">
        <f aca="false">IF(B12=0,"UNMODELED","MODELED")</f>
        <v>UNMODELED</v>
      </c>
    </row>
    <row r="22" customFormat="false" ht="15" hidden="false" customHeight="false" outlineLevel="0" collapsed="false">
      <c r="A22" s="5" t="n">
        <v>6</v>
      </c>
      <c r="B22" s="5" t="n">
        <v>4</v>
      </c>
      <c r="C22" s="5" t="n">
        <v>2.5</v>
      </c>
      <c r="E22" s="24" t="s">
        <v>495</v>
      </c>
      <c r="F22" s="25" t="n">
        <f aca="false">IF(OR(E11="REFUND",E12="REFUND"),B6,0)</f>
        <v>0</v>
      </c>
    </row>
    <row r="23" customFormat="false" ht="15" hidden="false" customHeight="false" outlineLevel="0" collapsed="false">
      <c r="A23" s="6" t="n">
        <v>6</v>
      </c>
      <c r="B23" s="6" t="n">
        <v>3</v>
      </c>
      <c r="C23" s="6" t="n">
        <v>0</v>
      </c>
      <c r="E23" s="24" t="s">
        <v>328</v>
      </c>
      <c r="F23" s="25" t="n">
        <f aca="false">IF(F22&gt;0,F22,IF(F19="UNKNOWN_PLATFORM_RULE","UNKNOWN_PLATFORM_RULE",MAX(F19,F20)))</f>
        <v>10</v>
      </c>
    </row>
    <row r="24" customFormat="false" ht="15" hidden="false" customHeight="false" outlineLevel="0" collapsed="false">
      <c r="A24" s="5" t="n">
        <v>6</v>
      </c>
      <c r="B24" s="5" t="n">
        <v>2</v>
      </c>
      <c r="C24" s="5" t="n">
        <v>0</v>
      </c>
      <c r="E24" s="24" t="s">
        <v>496</v>
      </c>
      <c r="F24" s="25" t="n">
        <f aca="false">IF(ISNUMBER(F23),F23-B6,"n/a")</f>
        <v>0</v>
      </c>
    </row>
    <row r="25" customFormat="false" ht="15" hidden="false" customHeight="false" outlineLevel="0" collapsed="false">
      <c r="A25" s="6" t="n">
        <v>6</v>
      </c>
      <c r="B25" s="6" t="n">
        <v>1</v>
      </c>
      <c r="C25" s="6" t="n">
        <v>0</v>
      </c>
      <c r="E25" s="24" t="s">
        <v>497</v>
      </c>
      <c r="F25" s="25" t="str">
        <f aca="false">IF(AND(ISNUMBER(F23),F23&gt;0),"YES","NO")</f>
        <v>YES</v>
      </c>
    </row>
    <row r="26" customFormat="false" ht="15" hidden="false" customHeight="false" outlineLevel="0" collapsed="false">
      <c r="A26" s="5" t="n">
        <v>6</v>
      </c>
      <c r="B26" s="5" t="n">
        <v>0</v>
      </c>
      <c r="C26" s="5" t="n">
        <v>0</v>
      </c>
      <c r="E26" s="24" t="s">
        <v>498</v>
      </c>
      <c r="F26" s="25" t="str">
        <f aca="false">IF(AND(ISNUMBER(F24),F24&gt;0),"YES","NO")</f>
        <v>NO</v>
      </c>
    </row>
    <row r="27" customFormat="false" ht="26.85" hidden="false" customHeight="false" outlineLevel="0" collapsed="false">
      <c r="A27" s="6" t="n">
        <v>5</v>
      </c>
      <c r="B27" s="6" t="n">
        <v>5</v>
      </c>
      <c r="C27" s="6" t="n">
        <v>100</v>
      </c>
      <c r="E27" s="24" t="s">
        <v>499</v>
      </c>
      <c r="F27" s="25" t="str">
        <f aca="false">IF(AND(E6=5,B11=4,F21="UNMODELED",F23=10),"matches 5-tier 4-win MG $10","review inputs")</f>
        <v>matches 5-tier 4-win MG $10</v>
      </c>
    </row>
    <row r="28" customFormat="false" ht="15" hidden="false" customHeight="false" outlineLevel="0" collapsed="false">
      <c r="A28" s="5" t="n">
        <v>5</v>
      </c>
      <c r="B28" s="5" t="n">
        <v>4</v>
      </c>
      <c r="C28" s="5" t="n">
        <v>10</v>
      </c>
    </row>
    <row r="29" customFormat="false" ht="15" hidden="false" customHeight="false" outlineLevel="0" collapsed="false">
      <c r="A29" s="6" t="n">
        <v>5</v>
      </c>
      <c r="B29" s="6" t="n">
        <v>3</v>
      </c>
      <c r="C29" s="6" t="n">
        <v>0</v>
      </c>
    </row>
    <row r="30" customFormat="false" ht="15" hidden="false" customHeight="false" outlineLevel="0" collapsed="false">
      <c r="A30" s="5" t="n">
        <v>5</v>
      </c>
      <c r="B30" s="5" t="n">
        <v>2</v>
      </c>
      <c r="C30" s="5" t="n">
        <v>0</v>
      </c>
    </row>
    <row r="31" customFormat="false" ht="15" hidden="false" customHeight="false" outlineLevel="0" collapsed="false">
      <c r="A31" s="6" t="n">
        <v>5</v>
      </c>
      <c r="B31" s="6" t="n">
        <v>1</v>
      </c>
      <c r="C31" s="6" t="n">
        <v>0</v>
      </c>
    </row>
    <row r="32" customFormat="false" ht="15" hidden="false" customHeight="false" outlineLevel="0" collapsed="false">
      <c r="A32" s="5" t="n">
        <v>5</v>
      </c>
      <c r="B32" s="5" t="n">
        <v>0</v>
      </c>
      <c r="C32" s="5" t="n">
        <v>0</v>
      </c>
    </row>
    <row r="33" customFormat="false" ht="15" hidden="false" customHeight="false" outlineLevel="0" collapsed="false">
      <c r="A33" s="6" t="n">
        <v>4</v>
      </c>
      <c r="B33" s="6" t="n">
        <v>4</v>
      </c>
      <c r="C33" s="6" t="n">
        <v>50</v>
      </c>
    </row>
    <row r="34" customFormat="false" ht="15" hidden="false" customHeight="false" outlineLevel="0" collapsed="false">
      <c r="A34" s="5" t="n">
        <v>4</v>
      </c>
      <c r="B34" s="5" t="n">
        <v>3</v>
      </c>
      <c r="C34" s="5" t="n">
        <v>5</v>
      </c>
    </row>
    <row r="35" customFormat="false" ht="15" hidden="false" customHeight="false" outlineLevel="0" collapsed="false">
      <c r="A35" s="6" t="n">
        <v>4</v>
      </c>
      <c r="B35" s="6" t="n">
        <v>2</v>
      </c>
      <c r="C35" s="6" t="n">
        <v>0</v>
      </c>
    </row>
    <row r="36" customFormat="false" ht="15" hidden="false" customHeight="false" outlineLevel="0" collapsed="false">
      <c r="A36" s="5" t="n">
        <v>4</v>
      </c>
      <c r="B36" s="5" t="n">
        <v>1</v>
      </c>
      <c r="C36" s="5" t="n">
        <v>0</v>
      </c>
    </row>
    <row r="37" customFormat="false" ht="15" hidden="false" customHeight="false" outlineLevel="0" collapsed="false">
      <c r="A37" s="6" t="n">
        <v>4</v>
      </c>
      <c r="B37" s="6" t="n">
        <v>0</v>
      </c>
      <c r="C37" s="6" t="n">
        <v>0</v>
      </c>
    </row>
    <row r="38" customFormat="false" ht="15" hidden="false" customHeight="false" outlineLevel="0" collapsed="false">
      <c r="A38" s="5" t="n">
        <v>3</v>
      </c>
      <c r="B38" s="5" t="n">
        <v>3</v>
      </c>
      <c r="C38" s="5" t="n">
        <v>25</v>
      </c>
    </row>
    <row r="39" customFormat="false" ht="15" hidden="false" customHeight="false" outlineLevel="0" collapsed="false">
      <c r="A39" s="6" t="n">
        <v>3</v>
      </c>
      <c r="B39" s="6" t="n">
        <v>2</v>
      </c>
      <c r="C39" s="6" t="n">
        <v>0</v>
      </c>
    </row>
    <row r="40" customFormat="false" ht="15" hidden="false" customHeight="false" outlineLevel="0" collapsed="false">
      <c r="A40" s="5" t="n">
        <v>3</v>
      </c>
      <c r="B40" s="5" t="n">
        <v>1</v>
      </c>
      <c r="C40" s="5" t="n">
        <v>0</v>
      </c>
    </row>
    <row r="41" customFormat="false" ht="15" hidden="false" customHeight="false" outlineLevel="0" collapsed="false">
      <c r="A41" s="6" t="n">
        <v>3</v>
      </c>
      <c r="B41" s="6" t="n">
        <v>0</v>
      </c>
      <c r="C41" s="6" t="n">
        <v>0</v>
      </c>
    </row>
    <row r="42" customFormat="false" ht="15" hidden="false" customHeight="false" outlineLevel="0" collapsed="false">
      <c r="A42" s="5" t="n">
        <v>2</v>
      </c>
      <c r="B42" s="5" t="n">
        <v>2</v>
      </c>
      <c r="C42" s="5" t="n">
        <v>3</v>
      </c>
    </row>
    <row r="43" customFormat="false" ht="15" hidden="false" customHeight="false" outlineLevel="0" collapsed="false">
      <c r="A43" s="6" t="n">
        <v>2</v>
      </c>
      <c r="B43" s="6" t="n">
        <v>1</v>
      </c>
      <c r="C43" s="6" t="n">
        <v>1.5</v>
      </c>
    </row>
    <row r="44" customFormat="false" ht="15" hidden="false" customHeight="false" outlineLevel="0" collapsed="false">
      <c r="A44" s="5" t="n">
        <v>2</v>
      </c>
      <c r="B44" s="5" t="n">
        <v>0</v>
      </c>
      <c r="C44" s="5" t="n">
        <v>0</v>
      </c>
    </row>
    <row r="46" customFormat="false" ht="48" hidden="false" customHeight="true" outlineLevel="0" collapsed="false">
      <c r="A46" s="26" t="s">
        <v>500</v>
      </c>
      <c r="B46" s="26"/>
      <c r="C46" s="26"/>
      <c r="D46" s="26"/>
      <c r="E46" s="26"/>
      <c r="F46" s="26"/>
      <c r="G46" s="26"/>
      <c r="H46" s="26"/>
    </row>
    <row r="47" customFormat="false" ht="15" hidden="false" customHeight="false" outlineLevel="0" collapsed="false">
      <c r="A47" s="26"/>
      <c r="B47" s="26"/>
      <c r="C47" s="26"/>
      <c r="D47" s="26"/>
      <c r="E47" s="26"/>
      <c r="F47" s="26"/>
      <c r="G47" s="26"/>
      <c r="H47" s="26"/>
    </row>
    <row r="48" customFormat="false" ht="15" hidden="false" customHeight="false" outlineLevel="0" collapsed="false">
      <c r="A48" s="26"/>
      <c r="B48" s="26"/>
      <c r="C48" s="26"/>
      <c r="D48" s="26"/>
      <c r="E48" s="26"/>
      <c r="F48" s="26"/>
      <c r="G48" s="26"/>
      <c r="H48" s="26"/>
    </row>
  </sheetData>
  <mergeCells count="8">
    <mergeCell ref="A1:H1"/>
    <mergeCell ref="A2:H2"/>
    <mergeCell ref="A3:H3"/>
    <mergeCell ref="A5:C5"/>
    <mergeCell ref="D5:F5"/>
    <mergeCell ref="A18:C18"/>
    <mergeCell ref="E18:G18"/>
    <mergeCell ref="A46:H48"/>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4A6E"/>
    <pageSetUpPr fitToPage="tru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0"/>
    <col collapsed="false" customWidth="true" hidden="false" outlineLevel="0" max="3" min="3" style="0" width="40"/>
  </cols>
  <sheetData>
    <row r="1" customFormat="false" ht="24" hidden="false" customHeight="true" outlineLevel="0" collapsed="false">
      <c r="A1" s="1" t="s">
        <v>501</v>
      </c>
      <c r="B1" s="1"/>
      <c r="C1" s="1"/>
      <c r="D1" s="1"/>
      <c r="E1" s="1"/>
      <c r="F1" s="1"/>
      <c r="G1" s="1"/>
      <c r="H1" s="1"/>
    </row>
    <row r="2" customFormat="false" ht="18" hidden="false" customHeight="true" outlineLevel="0" collapsed="false">
      <c r="A2" s="2" t="s">
        <v>502</v>
      </c>
      <c r="B2" s="2"/>
      <c r="C2" s="2"/>
      <c r="D2" s="2"/>
      <c r="E2" s="2"/>
      <c r="F2" s="2"/>
      <c r="G2" s="2"/>
      <c r="H2" s="2"/>
    </row>
    <row r="3" customFormat="false" ht="15" hidden="false" customHeight="false" outlineLevel="0" collapsed="false">
      <c r="A3" s="3" t="s">
        <v>503</v>
      </c>
      <c r="B3" s="3"/>
      <c r="C3" s="3"/>
      <c r="D3" s="3"/>
      <c r="E3" s="3"/>
      <c r="F3" s="3"/>
      <c r="G3" s="3"/>
      <c r="H3" s="3"/>
    </row>
    <row r="5" customFormat="false" ht="15" hidden="false" customHeight="false" outlineLevel="0" collapsed="false">
      <c r="A5" s="4" t="s">
        <v>504</v>
      </c>
      <c r="B5" s="4" t="s">
        <v>505</v>
      </c>
      <c r="C5" s="4" t="s">
        <v>506</v>
      </c>
    </row>
    <row r="6" customFormat="false" ht="36" hidden="false" customHeight="true" outlineLevel="0" collapsed="false">
      <c r="A6" s="5" t="s">
        <v>507</v>
      </c>
      <c r="B6" s="5" t="s">
        <v>508</v>
      </c>
      <c r="C6" s="5" t="s">
        <v>509</v>
      </c>
    </row>
    <row r="7" customFormat="false" ht="36" hidden="false" customHeight="true" outlineLevel="0" collapsed="false">
      <c r="A7" s="6" t="s">
        <v>510</v>
      </c>
      <c r="B7" s="6" t="s">
        <v>511</v>
      </c>
      <c r="C7" s="6" t="s">
        <v>512</v>
      </c>
    </row>
    <row r="8" customFormat="false" ht="36" hidden="false" customHeight="true" outlineLevel="0" collapsed="false">
      <c r="A8" s="5" t="s">
        <v>513</v>
      </c>
      <c r="B8" s="5" t="s">
        <v>514</v>
      </c>
      <c r="C8" s="5" t="s">
        <v>515</v>
      </c>
    </row>
    <row r="9" customFormat="false" ht="21.75" hidden="false" customHeight="true" outlineLevel="0" collapsed="false">
      <c r="A9" s="6" t="s">
        <v>516</v>
      </c>
      <c r="B9" s="6" t="s">
        <v>517</v>
      </c>
      <c r="C9" s="6" t="s">
        <v>518</v>
      </c>
    </row>
    <row r="10" customFormat="false" ht="36" hidden="false" customHeight="true" outlineLevel="0" collapsed="false">
      <c r="A10" s="5" t="s">
        <v>519</v>
      </c>
      <c r="B10" s="5" t="s">
        <v>520</v>
      </c>
      <c r="C10" s="5" t="s">
        <v>521</v>
      </c>
    </row>
    <row r="11" customFormat="false" ht="36" hidden="false" customHeight="true" outlineLevel="0" collapsed="false">
      <c r="A11" s="6" t="s">
        <v>522</v>
      </c>
      <c r="B11" s="6" t="s">
        <v>523</v>
      </c>
      <c r="C11" s="6" t="s">
        <v>524</v>
      </c>
    </row>
    <row r="12" customFormat="false" ht="36" hidden="false" customHeight="true" outlineLevel="0" collapsed="false">
      <c r="A12" s="5" t="s">
        <v>525</v>
      </c>
      <c r="B12" s="5" t="s">
        <v>526</v>
      </c>
      <c r="C12" s="5" t="s">
        <v>527</v>
      </c>
    </row>
    <row r="13" customFormat="false" ht="36" hidden="false" customHeight="true" outlineLevel="0" collapsed="false">
      <c r="A13" s="6" t="s">
        <v>528</v>
      </c>
      <c r="B13" s="6" t="s">
        <v>529</v>
      </c>
      <c r="C13" s="6" t="s">
        <v>530</v>
      </c>
    </row>
    <row r="14" customFormat="false" ht="21.75" hidden="false" customHeight="true" outlineLevel="0" collapsed="false">
      <c r="A14" s="5" t="s">
        <v>531</v>
      </c>
      <c r="B14" s="5" t="s">
        <v>532</v>
      </c>
      <c r="C14" s="5" t="s">
        <v>533</v>
      </c>
    </row>
    <row r="15" customFormat="false" ht="36" hidden="false" customHeight="true" outlineLevel="0" collapsed="false">
      <c r="A15" s="6" t="s">
        <v>534</v>
      </c>
      <c r="B15" s="6" t="s">
        <v>535</v>
      </c>
      <c r="C15" s="6" t="s">
        <v>536</v>
      </c>
    </row>
    <row r="16" customFormat="false" ht="36" hidden="false" customHeight="true" outlineLevel="0" collapsed="false">
      <c r="A16" s="5" t="s">
        <v>537</v>
      </c>
      <c r="B16" s="5" t="s">
        <v>538</v>
      </c>
      <c r="C16" s="5" t="s">
        <v>539</v>
      </c>
    </row>
    <row r="17" customFormat="false" ht="36" hidden="false" customHeight="true" outlineLevel="0" collapsed="false">
      <c r="A17" s="6" t="s">
        <v>540</v>
      </c>
      <c r="B17" s="6" t="s">
        <v>541</v>
      </c>
      <c r="C17" s="6" t="s">
        <v>542</v>
      </c>
    </row>
  </sheetData>
  <mergeCells count="3">
    <mergeCell ref="A1:H1"/>
    <mergeCell ref="A2:H2"/>
    <mergeCell ref="A3:H3"/>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F00"/>
    <pageSetUpPr fitToPage="tru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22"/>
    <col collapsed="false" customWidth="true" hidden="false" outlineLevel="0" max="4" min="4" style="0" width="18"/>
    <col collapsed="false" customWidth="true" hidden="false" outlineLevel="0" max="5" min="5" style="0" width="50"/>
  </cols>
  <sheetData>
    <row r="1" customFormat="false" ht="24" hidden="false" customHeight="true" outlineLevel="0" collapsed="false">
      <c r="A1" s="1" t="s">
        <v>543</v>
      </c>
      <c r="B1" s="1"/>
      <c r="C1" s="1"/>
      <c r="D1" s="1"/>
      <c r="E1" s="1"/>
      <c r="F1" s="1"/>
      <c r="G1" s="1"/>
      <c r="H1" s="1"/>
    </row>
    <row r="2" customFormat="false" ht="18" hidden="false" customHeight="true" outlineLevel="0" collapsed="false">
      <c r="A2" s="2" t="s">
        <v>544</v>
      </c>
      <c r="B2" s="2"/>
      <c r="C2" s="2"/>
      <c r="D2" s="2"/>
      <c r="E2" s="2"/>
      <c r="F2" s="2"/>
      <c r="G2" s="2"/>
      <c r="H2" s="2"/>
    </row>
    <row r="3" customFormat="false" ht="15" hidden="false" customHeight="false" outlineLevel="0" collapsed="false">
      <c r="A3" s="3" t="s">
        <v>545</v>
      </c>
      <c r="B3" s="3"/>
      <c r="C3" s="3"/>
      <c r="D3" s="3"/>
      <c r="E3" s="3"/>
      <c r="F3" s="3"/>
      <c r="G3" s="3"/>
      <c r="H3" s="3"/>
    </row>
    <row r="5" customFormat="false" ht="15" hidden="false" customHeight="false" outlineLevel="0" collapsed="false">
      <c r="A5" s="4" t="s">
        <v>546</v>
      </c>
      <c r="B5" s="4" t="s">
        <v>547</v>
      </c>
      <c r="C5" s="4" t="s">
        <v>548</v>
      </c>
      <c r="D5" s="4" t="s">
        <v>549</v>
      </c>
      <c r="E5" s="4" t="s">
        <v>550</v>
      </c>
    </row>
    <row r="6" customFormat="false" ht="36" hidden="false" customHeight="true" outlineLevel="0" collapsed="false">
      <c r="A6" s="5" t="s">
        <v>255</v>
      </c>
      <c r="B6" s="5" t="s">
        <v>551</v>
      </c>
      <c r="C6" s="5" t="s">
        <v>552</v>
      </c>
      <c r="D6" s="5" t="s">
        <v>553</v>
      </c>
      <c r="E6" s="5" t="s">
        <v>554</v>
      </c>
    </row>
    <row r="7" customFormat="false" ht="36" hidden="false" customHeight="true" outlineLevel="0" collapsed="false">
      <c r="A7" s="6" t="s">
        <v>266</v>
      </c>
      <c r="B7" s="6" t="s">
        <v>555</v>
      </c>
      <c r="C7" s="6" t="s">
        <v>552</v>
      </c>
      <c r="D7" s="6" t="s">
        <v>556</v>
      </c>
      <c r="E7" s="6" t="s">
        <v>557</v>
      </c>
    </row>
    <row r="8" customFormat="false" ht="36" hidden="false" customHeight="true" outlineLevel="0" collapsed="false">
      <c r="A8" s="5" t="s">
        <v>277</v>
      </c>
      <c r="B8" s="5" t="s">
        <v>558</v>
      </c>
      <c r="C8" s="5" t="s">
        <v>552</v>
      </c>
      <c r="D8" s="5" t="s">
        <v>559</v>
      </c>
      <c r="E8" s="5" t="s">
        <v>560</v>
      </c>
    </row>
    <row r="9" customFormat="false" ht="21.75" hidden="false" customHeight="true" outlineLevel="0" collapsed="false">
      <c r="A9" s="6" t="s">
        <v>561</v>
      </c>
      <c r="B9" s="6" t="s">
        <v>562</v>
      </c>
      <c r="C9" s="6" t="s">
        <v>552</v>
      </c>
      <c r="D9" s="6" t="s">
        <v>563</v>
      </c>
      <c r="E9" s="6" t="s">
        <v>564</v>
      </c>
    </row>
    <row r="10" customFormat="false" ht="21.75" hidden="false" customHeight="true" outlineLevel="0" collapsed="false">
      <c r="A10" s="5" t="s">
        <v>565</v>
      </c>
      <c r="B10" s="5" t="s">
        <v>566</v>
      </c>
      <c r="C10" s="5" t="s">
        <v>567</v>
      </c>
      <c r="D10" s="5" t="s">
        <v>568</v>
      </c>
      <c r="E10" s="5" t="s">
        <v>569</v>
      </c>
    </row>
    <row r="11" customFormat="false" ht="21.75" hidden="false" customHeight="true" outlineLevel="0" collapsed="false">
      <c r="A11" s="6" t="s">
        <v>570</v>
      </c>
      <c r="B11" s="6" t="s">
        <v>571</v>
      </c>
      <c r="C11" s="6" t="s">
        <v>567</v>
      </c>
      <c r="D11" s="6" t="s">
        <v>572</v>
      </c>
      <c r="E11" s="6" t="s">
        <v>573</v>
      </c>
    </row>
    <row r="12" customFormat="false" ht="21.75" hidden="false" customHeight="true" outlineLevel="0" collapsed="false">
      <c r="A12" s="5" t="s">
        <v>574</v>
      </c>
      <c r="B12" s="5" t="s">
        <v>575</v>
      </c>
      <c r="C12" s="5" t="s">
        <v>567</v>
      </c>
      <c r="D12" s="5" t="s">
        <v>576</v>
      </c>
      <c r="E12" s="5" t="s">
        <v>577</v>
      </c>
    </row>
    <row r="13" customFormat="false" ht="21.75" hidden="false" customHeight="true" outlineLevel="0" collapsed="false">
      <c r="A13" s="6" t="s">
        <v>578</v>
      </c>
      <c r="B13" s="6" t="s">
        <v>579</v>
      </c>
      <c r="C13" s="6" t="s">
        <v>580</v>
      </c>
      <c r="D13" s="6" t="s">
        <v>581</v>
      </c>
      <c r="E13" s="6" t="s">
        <v>582</v>
      </c>
    </row>
    <row r="14" customFormat="false" ht="21.75" hidden="false" customHeight="true" outlineLevel="0" collapsed="false">
      <c r="A14" s="5" t="s">
        <v>583</v>
      </c>
      <c r="B14" s="5" t="s">
        <v>584</v>
      </c>
      <c r="C14" s="5" t="s">
        <v>585</v>
      </c>
      <c r="D14" s="5" t="s">
        <v>586</v>
      </c>
      <c r="E14" s="5" t="s">
        <v>587</v>
      </c>
    </row>
    <row r="15" customFormat="false" ht="21.75" hidden="false" customHeight="true" outlineLevel="0" collapsed="false">
      <c r="A15" s="6" t="s">
        <v>588</v>
      </c>
      <c r="B15" s="6" t="s">
        <v>589</v>
      </c>
      <c r="C15" s="6" t="s">
        <v>590</v>
      </c>
      <c r="D15" s="6" t="s">
        <v>591</v>
      </c>
      <c r="E15" s="6" t="s">
        <v>592</v>
      </c>
    </row>
    <row r="18" customFormat="false" ht="15" hidden="false" customHeight="true" outlineLevel="0" collapsed="false">
      <c r="A18" s="27" t="s">
        <v>593</v>
      </c>
      <c r="B18" s="27"/>
      <c r="C18" s="27"/>
      <c r="D18" s="27"/>
      <c r="E18" s="27"/>
    </row>
    <row r="19" customFormat="false" ht="15" hidden="false" customHeight="true" outlineLevel="0" collapsed="false">
      <c r="A19" s="28" t="s">
        <v>594</v>
      </c>
      <c r="B19" s="28"/>
      <c r="C19" s="28"/>
      <c r="D19" s="28"/>
      <c r="E19" s="28"/>
    </row>
    <row r="20" customFormat="false" ht="15" hidden="false" customHeight="true" outlineLevel="0" collapsed="false">
      <c r="A20" s="28" t="s">
        <v>595</v>
      </c>
      <c r="B20" s="28"/>
      <c r="C20" s="28"/>
      <c r="D20" s="28"/>
      <c r="E20" s="28"/>
    </row>
    <row r="21" customFormat="false" ht="15" hidden="false" customHeight="true" outlineLevel="0" collapsed="false">
      <c r="A21" s="28" t="s">
        <v>596</v>
      </c>
      <c r="B21" s="28"/>
      <c r="C21" s="28"/>
      <c r="D21" s="28"/>
      <c r="E21" s="28"/>
    </row>
    <row r="22" customFormat="false" ht="15" hidden="false" customHeight="true" outlineLevel="0" collapsed="false">
      <c r="A22" s="28" t="s">
        <v>597</v>
      </c>
      <c r="B22" s="28"/>
      <c r="C22" s="28"/>
      <c r="D22" s="28"/>
      <c r="E22" s="28"/>
    </row>
    <row r="23" customFormat="false" ht="15" hidden="false" customHeight="true" outlineLevel="0" collapsed="false">
      <c r="A23" s="28" t="s">
        <v>598</v>
      </c>
      <c r="B23" s="28"/>
      <c r="C23" s="28"/>
      <c r="D23" s="28"/>
      <c r="E23" s="28"/>
    </row>
    <row r="24" customFormat="false" ht="15" hidden="false" customHeight="true" outlineLevel="0" collapsed="false">
      <c r="A24" s="28" t="s">
        <v>599</v>
      </c>
      <c r="B24" s="28"/>
      <c r="C24" s="28"/>
      <c r="D24" s="28"/>
      <c r="E24" s="28"/>
    </row>
    <row r="25" customFormat="false" ht="15" hidden="false" customHeight="true" outlineLevel="0" collapsed="false">
      <c r="A25" s="28" t="s">
        <v>600</v>
      </c>
      <c r="B25" s="28"/>
      <c r="C25" s="28"/>
      <c r="D25" s="28"/>
      <c r="E25" s="28"/>
    </row>
  </sheetData>
  <mergeCells count="11">
    <mergeCell ref="A1:H1"/>
    <mergeCell ref="A2:H2"/>
    <mergeCell ref="A3:H3"/>
    <mergeCell ref="A18:E18"/>
    <mergeCell ref="A19:E19"/>
    <mergeCell ref="A20:E20"/>
    <mergeCell ref="A21:E21"/>
    <mergeCell ref="A22:E22"/>
    <mergeCell ref="A23:E23"/>
    <mergeCell ref="A24:E24"/>
    <mergeCell ref="A25:E25"/>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65D"/>
    <pageSetUpPr fitToPage="tru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8"/>
    <col collapsed="false" customWidth="true" hidden="false" outlineLevel="0" max="3" min="3" style="0" width="44"/>
  </cols>
  <sheetData>
    <row r="1" customFormat="false" ht="24" hidden="false" customHeight="true" outlineLevel="0" collapsed="false">
      <c r="A1" s="1" t="s">
        <v>601</v>
      </c>
      <c r="B1" s="1"/>
      <c r="C1" s="1"/>
      <c r="D1" s="1"/>
      <c r="E1" s="1"/>
      <c r="F1" s="1"/>
      <c r="G1" s="1"/>
      <c r="H1" s="1"/>
    </row>
    <row r="2" customFormat="false" ht="18" hidden="false" customHeight="true" outlineLevel="0" collapsed="false">
      <c r="A2" s="2" t="s">
        <v>602</v>
      </c>
      <c r="B2" s="2"/>
      <c r="C2" s="2"/>
      <c r="D2" s="2"/>
      <c r="E2" s="2"/>
      <c r="F2" s="2"/>
      <c r="G2" s="2"/>
      <c r="H2" s="2"/>
    </row>
    <row r="3" customFormat="false" ht="15" hidden="false" customHeight="false" outlineLevel="0" collapsed="false">
      <c r="A3" s="3" t="s">
        <v>603</v>
      </c>
      <c r="B3" s="3"/>
      <c r="C3" s="3"/>
      <c r="D3" s="3"/>
      <c r="E3" s="3"/>
      <c r="F3" s="3"/>
      <c r="G3" s="3"/>
      <c r="H3" s="3"/>
    </row>
    <row r="5" customFormat="false" ht="15" hidden="false" customHeight="false" outlineLevel="0" collapsed="false">
      <c r="A5" s="4" t="s">
        <v>604</v>
      </c>
      <c r="B5" s="4" t="s">
        <v>605</v>
      </c>
      <c r="C5" s="4" t="s">
        <v>606</v>
      </c>
    </row>
    <row r="6" customFormat="false" ht="21.75" hidden="false" customHeight="true" outlineLevel="0" collapsed="false">
      <c r="A6" s="5" t="s">
        <v>607</v>
      </c>
      <c r="B6" s="5" t="s">
        <v>608</v>
      </c>
      <c r="C6" s="5" t="s">
        <v>609</v>
      </c>
    </row>
    <row r="7" customFormat="false" ht="21.75" hidden="false" customHeight="true" outlineLevel="0" collapsed="false">
      <c r="A7" s="6" t="s">
        <v>610</v>
      </c>
      <c r="B7" s="6" t="s">
        <v>611</v>
      </c>
      <c r="C7" s="6" t="s">
        <v>612</v>
      </c>
    </row>
    <row r="8" customFormat="false" ht="21.75" hidden="false" customHeight="true" outlineLevel="0" collapsed="false">
      <c r="A8" s="5" t="s">
        <v>613</v>
      </c>
      <c r="B8" s="5" t="s">
        <v>614</v>
      </c>
      <c r="C8" s="5" t="s">
        <v>615</v>
      </c>
    </row>
    <row r="9" customFormat="false" ht="21.75" hidden="false" customHeight="true" outlineLevel="0" collapsed="false">
      <c r="A9" s="6" t="s">
        <v>616</v>
      </c>
      <c r="B9" s="6" t="s">
        <v>617</v>
      </c>
      <c r="C9" s="6" t="s">
        <v>618</v>
      </c>
    </row>
    <row r="10" customFormat="false" ht="21.75" hidden="false" customHeight="true" outlineLevel="0" collapsed="false">
      <c r="A10" s="5" t="s">
        <v>619</v>
      </c>
      <c r="B10" s="5" t="s">
        <v>620</v>
      </c>
      <c r="C10" s="5" t="s">
        <v>621</v>
      </c>
    </row>
    <row r="11" customFormat="false" ht="21.75" hidden="false" customHeight="true" outlineLevel="0" collapsed="false">
      <c r="A11" s="6" t="s">
        <v>622</v>
      </c>
      <c r="B11" s="6" t="s">
        <v>623</v>
      </c>
      <c r="C11" s="6" t="s">
        <v>624</v>
      </c>
    </row>
    <row r="12" customFormat="false" ht="21.75" hidden="false" customHeight="true" outlineLevel="0" collapsed="false">
      <c r="A12" s="5" t="s">
        <v>625</v>
      </c>
      <c r="B12" s="5" t="s">
        <v>626</v>
      </c>
      <c r="C12" s="5" t="s">
        <v>627</v>
      </c>
    </row>
    <row r="13" customFormat="false" ht="21.75" hidden="false" customHeight="true" outlineLevel="0" collapsed="false">
      <c r="A13" s="6" t="s">
        <v>628</v>
      </c>
      <c r="B13" s="6" t="s">
        <v>629</v>
      </c>
      <c r="C13" s="6" t="s">
        <v>630</v>
      </c>
    </row>
    <row r="14" customFormat="false" ht="21.75" hidden="false" customHeight="true" outlineLevel="0" collapsed="false">
      <c r="A14" s="5" t="s">
        <v>631</v>
      </c>
      <c r="B14" s="5" t="s">
        <v>632</v>
      </c>
      <c r="C14" s="5" t="s">
        <v>296</v>
      </c>
    </row>
    <row r="15" customFormat="false" ht="21.75" hidden="false" customHeight="true" outlineLevel="0" collapsed="false">
      <c r="A15" s="6" t="s">
        <v>633</v>
      </c>
      <c r="B15" s="6" t="s">
        <v>634</v>
      </c>
      <c r="C15" s="6" t="s">
        <v>300</v>
      </c>
    </row>
    <row r="16" customFormat="false" ht="21.75" hidden="false" customHeight="true" outlineLevel="0" collapsed="false">
      <c r="A16" s="5" t="s">
        <v>635</v>
      </c>
      <c r="B16" s="5" t="s">
        <v>338</v>
      </c>
      <c r="C16" s="5" t="s">
        <v>636</v>
      </c>
    </row>
    <row r="17" customFormat="false" ht="21.75" hidden="false" customHeight="true" outlineLevel="0" collapsed="false">
      <c r="A17" s="6" t="s">
        <v>637</v>
      </c>
      <c r="B17" s="6" t="s">
        <v>638</v>
      </c>
      <c r="C17" s="6" t="s">
        <v>639</v>
      </c>
    </row>
    <row r="18" customFormat="false" ht="21.75" hidden="false" customHeight="true" outlineLevel="0" collapsed="false">
      <c r="A18" s="5" t="s">
        <v>640</v>
      </c>
      <c r="B18" s="5" t="s">
        <v>641</v>
      </c>
      <c r="C18" s="5" t="s">
        <v>642</v>
      </c>
    </row>
    <row r="19" customFormat="false" ht="21.75" hidden="false" customHeight="true" outlineLevel="0" collapsed="false">
      <c r="A19" s="6" t="s">
        <v>643</v>
      </c>
      <c r="B19" s="6" t="s">
        <v>644</v>
      </c>
      <c r="C19" s="6" t="s">
        <v>645</v>
      </c>
    </row>
    <row r="20" customFormat="false" ht="21.75" hidden="false" customHeight="true" outlineLevel="0" collapsed="false">
      <c r="A20" s="5" t="s">
        <v>646</v>
      </c>
      <c r="B20" s="5" t="s">
        <v>647</v>
      </c>
      <c r="C20" s="5" t="s">
        <v>648</v>
      </c>
    </row>
  </sheetData>
  <mergeCells count="3">
    <mergeCell ref="A1:H1"/>
    <mergeCell ref="A2:H2"/>
    <mergeCell ref="A3:H3"/>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A6570"/>
    <pageSetUpPr fitToPage="tru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22"/>
    <col collapsed="false" customWidth="true" hidden="false" outlineLevel="0" max="4" min="4" style="0" width="70"/>
  </cols>
  <sheetData>
    <row r="1" customFormat="false" ht="24" hidden="false" customHeight="true" outlineLevel="0" collapsed="false">
      <c r="A1" s="1" t="s">
        <v>649</v>
      </c>
      <c r="B1" s="1"/>
      <c r="C1" s="1"/>
      <c r="D1" s="1"/>
      <c r="E1" s="1"/>
      <c r="F1" s="1"/>
      <c r="G1" s="1"/>
      <c r="H1" s="1"/>
    </row>
    <row r="2" customFormat="false" ht="18" hidden="false" customHeight="true" outlineLevel="0" collapsed="false">
      <c r="A2" s="2" t="s">
        <v>650</v>
      </c>
      <c r="B2" s="2"/>
      <c r="C2" s="2"/>
      <c r="D2" s="2"/>
      <c r="E2" s="2"/>
      <c r="F2" s="2"/>
      <c r="G2" s="2"/>
      <c r="H2" s="2"/>
    </row>
    <row r="3" customFormat="false" ht="15" hidden="false" customHeight="false" outlineLevel="0" collapsed="false">
      <c r="A3" s="3" t="s">
        <v>651</v>
      </c>
      <c r="B3" s="3"/>
      <c r="C3" s="3"/>
      <c r="D3" s="3"/>
      <c r="E3" s="3"/>
      <c r="F3" s="3"/>
      <c r="G3" s="3"/>
      <c r="H3" s="3"/>
    </row>
    <row r="5" customFormat="false" ht="15" hidden="false" customHeight="false" outlineLevel="0" collapsed="false">
      <c r="A5" s="4" t="s">
        <v>652</v>
      </c>
      <c r="B5" s="4" t="s">
        <v>354</v>
      </c>
      <c r="C5" s="4" t="s">
        <v>653</v>
      </c>
      <c r="D5" s="4" t="s">
        <v>654</v>
      </c>
    </row>
    <row r="6" customFormat="false" ht="36" hidden="false" customHeight="true" outlineLevel="0" collapsed="false">
      <c r="A6" s="5" t="s">
        <v>655</v>
      </c>
      <c r="B6" s="5" t="s">
        <v>656</v>
      </c>
      <c r="C6" s="5" t="s">
        <v>657</v>
      </c>
      <c r="D6" s="5" t="s">
        <v>658</v>
      </c>
    </row>
    <row r="7" customFormat="false" ht="36" hidden="false" customHeight="true" outlineLevel="0" collapsed="false">
      <c r="A7" s="6" t="s">
        <v>659</v>
      </c>
      <c r="B7" s="6" t="s">
        <v>656</v>
      </c>
      <c r="C7" s="6" t="s">
        <v>660</v>
      </c>
      <c r="D7" s="6" t="s">
        <v>661</v>
      </c>
    </row>
    <row r="8" customFormat="false" ht="36" hidden="false" customHeight="true" outlineLevel="0" collapsed="false">
      <c r="A8" s="5" t="s">
        <v>662</v>
      </c>
      <c r="B8" s="5" t="s">
        <v>656</v>
      </c>
      <c r="C8" s="5" t="s">
        <v>663</v>
      </c>
      <c r="D8" s="5" t="s">
        <v>664</v>
      </c>
    </row>
    <row r="9" customFormat="false" ht="36" hidden="false" customHeight="true" outlineLevel="0" collapsed="false">
      <c r="A9" s="6" t="s">
        <v>665</v>
      </c>
      <c r="B9" s="6" t="s">
        <v>666</v>
      </c>
      <c r="C9" s="6" t="s">
        <v>667</v>
      </c>
      <c r="D9" s="6" t="s">
        <v>668</v>
      </c>
    </row>
    <row r="10" customFormat="false" ht="36" hidden="false" customHeight="true" outlineLevel="0" collapsed="false">
      <c r="A10" s="5" t="s">
        <v>669</v>
      </c>
      <c r="B10" s="5" t="s">
        <v>670</v>
      </c>
      <c r="C10" s="5" t="s">
        <v>671</v>
      </c>
      <c r="D10" s="5" t="s">
        <v>672</v>
      </c>
    </row>
    <row r="11" customFormat="false" ht="21.75" hidden="false" customHeight="true" outlineLevel="0" collapsed="false">
      <c r="A11" s="6" t="s">
        <v>673</v>
      </c>
      <c r="B11" s="6" t="s">
        <v>674</v>
      </c>
      <c r="C11" s="6" t="s">
        <v>675</v>
      </c>
      <c r="D11" s="6" t="s">
        <v>676</v>
      </c>
    </row>
    <row r="12" customFormat="false" ht="21.75" hidden="false" customHeight="true" outlineLevel="0" collapsed="false">
      <c r="A12" s="5" t="s">
        <v>677</v>
      </c>
      <c r="B12" s="5" t="s">
        <v>678</v>
      </c>
      <c r="C12" s="5" t="s">
        <v>675</v>
      </c>
      <c r="D12" s="5" t="s">
        <v>679</v>
      </c>
    </row>
    <row r="13" customFormat="false" ht="21.75" hidden="false" customHeight="true" outlineLevel="0" collapsed="false">
      <c r="A13" s="6" t="s">
        <v>680</v>
      </c>
      <c r="B13" s="6" t="s">
        <v>681</v>
      </c>
      <c r="C13" s="6" t="s">
        <v>675</v>
      </c>
      <c r="D13" s="6" t="s">
        <v>682</v>
      </c>
    </row>
    <row r="14" customFormat="false" ht="36" hidden="false" customHeight="true" outlineLevel="0" collapsed="false">
      <c r="A14" s="5" t="s">
        <v>683</v>
      </c>
      <c r="B14" s="5" t="s">
        <v>684</v>
      </c>
      <c r="C14" s="5" t="s">
        <v>685</v>
      </c>
      <c r="D14" s="5" t="s">
        <v>686</v>
      </c>
    </row>
    <row r="17" customFormat="false" ht="39.75" hidden="false" customHeight="true" outlineLevel="0" collapsed="false">
      <c r="A17" s="26" t="s">
        <v>687</v>
      </c>
      <c r="B17" s="26"/>
      <c r="C17" s="26"/>
      <c r="D17" s="26"/>
    </row>
    <row r="18" customFormat="false" ht="15" hidden="false" customHeight="false" outlineLevel="0" collapsed="false">
      <c r="A18" s="26"/>
      <c r="B18" s="26"/>
      <c r="C18" s="26"/>
      <c r="D18" s="26"/>
    </row>
    <row r="19" customFormat="false" ht="15" hidden="false" customHeight="false" outlineLevel="0" collapsed="false">
      <c r="A19" s="26"/>
      <c r="B19" s="26"/>
      <c r="C19" s="26"/>
      <c r="D19" s="26"/>
    </row>
  </sheetData>
  <mergeCells count="4">
    <mergeCell ref="A1:H1"/>
    <mergeCell ref="A2:H2"/>
    <mergeCell ref="A3:H3"/>
    <mergeCell ref="A17:D19"/>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&amp;LDCM v6 · CONFIDENTIAL · FAIL-CLOSED</oddHeader>
    <oddFooter>&amp;LLR000000 · no predictive claim&amp;RPage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2026-08-27T17:51:59Z</dcterms:created>
  <dc:creator>openpyxl</dc:creator>
  <dc:description/>
  <dc:language>en-US</dc:language>
  <cp:lastModifiedBy/>
  <dcterms:modified xsi:type="dcterms:W3CDTF">2026-08-27T17:51:59Z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